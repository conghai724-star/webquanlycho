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HU CHỢ QUYẾT THẮNG 2026\CHỢ 2026\"/>
    </mc:Choice>
  </mc:AlternateContent>
  <xr:revisionPtr revIDLastSave="0" documentId="13_ncr:1_{0E50AC91-98AE-4016-BA0A-9CD308927BD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heo dõi thu 2026" sheetId="30" r:id="rId1"/>
    <sheet name="HĐ đtử" sheetId="33" r:id="rId2"/>
    <sheet name="Đky 2026" sheetId="21" r:id="rId3"/>
    <sheet name="nghỉ" sheetId="29" r:id="rId4"/>
    <sheet name="nộp phường" sheetId="32" r:id="rId5"/>
    <sheet name="thu góp" sheetId="25" state="hidden" r:id="rId6"/>
    <sheet name="Sheet1" sheetId="26" state="hidden" r:id="rId7"/>
    <sheet name="Sheet2" sheetId="28" state="hidden" r:id="rId8"/>
  </sheets>
  <definedNames>
    <definedName name="_xlnm._FilterDatabase" localSheetId="2" hidden="1">'Đky 2026'!$A$7:$AC$220</definedName>
    <definedName name="_xlnm._FilterDatabase" localSheetId="0" hidden="1">'theo dõi thu 2026'!$A$7:$AC$223</definedName>
    <definedName name="_xlnm.Print_Titles" localSheetId="2">'Đky 2026'!$6:$7</definedName>
    <definedName name="_xlnm.Print_Titles" localSheetId="0">'theo dõi thu 2026'!$6:$7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5" i="33" l="1"/>
  <c r="I35" i="33"/>
  <c r="K35" i="33" s="1"/>
  <c r="L35" i="33" s="1"/>
  <c r="O35" i="33" s="1"/>
  <c r="P83" i="30"/>
  <c r="P175" i="30"/>
  <c r="N34" i="33"/>
  <c r="I34" i="33"/>
  <c r="K34" i="33" s="1"/>
  <c r="L34" i="33" s="1"/>
  <c r="O34" i="33" s="1"/>
  <c r="H13" i="32"/>
  <c r="D17" i="32"/>
  <c r="N33" i="33"/>
  <c r="I33" i="33"/>
  <c r="K33" i="33" s="1"/>
  <c r="L33" i="33" s="1"/>
  <c r="O33" i="33" s="1"/>
  <c r="P142" i="30"/>
  <c r="N32" i="33"/>
  <c r="I32" i="33"/>
  <c r="K32" i="33" s="1"/>
  <c r="L32" i="33" s="1"/>
  <c r="O32" i="33" s="1"/>
  <c r="N31" i="33"/>
  <c r="I31" i="33"/>
  <c r="K31" i="33" s="1"/>
  <c r="L31" i="33" s="1"/>
  <c r="O31" i="33" s="1"/>
  <c r="N30" i="33"/>
  <c r="G30" i="33"/>
  <c r="I30" i="33" s="1"/>
  <c r="K30" i="33" s="1"/>
  <c r="L30" i="33" s="1"/>
  <c r="O30" i="33" s="1"/>
  <c r="P18" i="30"/>
  <c r="N29" i="33"/>
  <c r="I29" i="33"/>
  <c r="K29" i="33" s="1"/>
  <c r="L29" i="33" s="1"/>
  <c r="O29" i="33" s="1"/>
  <c r="N28" i="33"/>
  <c r="I28" i="33"/>
  <c r="K28" i="33" s="1"/>
  <c r="L28" i="33" s="1"/>
  <c r="O28" i="33" s="1"/>
  <c r="I27" i="33"/>
  <c r="K27" i="33" s="1"/>
  <c r="L27" i="33" s="1"/>
  <c r="O27" i="33" s="1"/>
  <c r="N26" i="33"/>
  <c r="K26" i="33"/>
  <c r="L26" i="33" s="1"/>
  <c r="O26" i="33" s="1"/>
  <c r="I26" i="33"/>
  <c r="N25" i="33"/>
  <c r="I25" i="33"/>
  <c r="K25" i="33" s="1"/>
  <c r="L25" i="33" s="1"/>
  <c r="O25" i="33" s="1"/>
  <c r="N24" i="33"/>
  <c r="I24" i="33"/>
  <c r="K24" i="33" s="1"/>
  <c r="L24" i="33" s="1"/>
  <c r="O24" i="33" s="1"/>
  <c r="P12" i="30"/>
  <c r="P131" i="30"/>
  <c r="N23" i="33"/>
  <c r="I23" i="33"/>
  <c r="K23" i="33" s="1"/>
  <c r="L23" i="33" s="1"/>
  <c r="O23" i="33" s="1"/>
  <c r="P71" i="30"/>
  <c r="N22" i="33"/>
  <c r="I22" i="33"/>
  <c r="K22" i="33" s="1"/>
  <c r="L22" i="33" s="1"/>
  <c r="O22" i="33" s="1"/>
  <c r="P141" i="30"/>
  <c r="N21" i="33"/>
  <c r="I21" i="33"/>
  <c r="K21" i="33" s="1"/>
  <c r="L21" i="33" s="1"/>
  <c r="O21" i="33" s="1"/>
  <c r="P177" i="30"/>
  <c r="N20" i="33"/>
  <c r="I20" i="33"/>
  <c r="K20" i="33" s="1"/>
  <c r="L20" i="33" s="1"/>
  <c r="O20" i="33" s="1"/>
  <c r="P219" i="30"/>
  <c r="N19" i="33"/>
  <c r="K19" i="33"/>
  <c r="L19" i="33" s="1"/>
  <c r="O19" i="33" s="1"/>
  <c r="P105" i="30"/>
  <c r="G18" i="33"/>
  <c r="I18" i="33" s="1"/>
  <c r="K18" i="33" s="1"/>
  <c r="L18" i="33" s="1"/>
  <c r="O18" i="33" s="1"/>
  <c r="P17" i="30"/>
  <c r="N17" i="33"/>
  <c r="I17" i="33"/>
  <c r="K17" i="33" s="1"/>
  <c r="L17" i="33" s="1"/>
  <c r="O17" i="33" s="1"/>
  <c r="N16" i="33"/>
  <c r="I16" i="33"/>
  <c r="K16" i="33" s="1"/>
  <c r="L16" i="33" s="1"/>
  <c r="O16" i="33" s="1"/>
  <c r="D34" i="32"/>
  <c r="N15" i="33"/>
  <c r="I15" i="33"/>
  <c r="K15" i="33" s="1"/>
  <c r="L15" i="33" s="1"/>
  <c r="O15" i="33" s="1"/>
  <c r="N14" i="33"/>
  <c r="I14" i="33"/>
  <c r="K14" i="33" s="1"/>
  <c r="L14" i="33" s="1"/>
  <c r="O14" i="33" s="1"/>
  <c r="P173" i="30"/>
  <c r="N13" i="33"/>
  <c r="I13" i="33"/>
  <c r="K13" i="33" s="1"/>
  <c r="L13" i="33" s="1"/>
  <c r="O13" i="33" s="1"/>
  <c r="P66" i="30"/>
  <c r="N12" i="33"/>
  <c r="I12" i="33"/>
  <c r="K12" i="33" s="1"/>
  <c r="L12" i="33" s="1"/>
  <c r="O12" i="33" s="1"/>
  <c r="L11" i="33"/>
  <c r="N10" i="33"/>
  <c r="I10" i="33"/>
  <c r="K10" i="33" s="1"/>
  <c r="L10" i="33" s="1"/>
  <c r="O10" i="33" s="1"/>
  <c r="N9" i="33"/>
  <c r="I9" i="33"/>
  <c r="K9" i="33" s="1"/>
  <c r="L9" i="33" s="1"/>
  <c r="O9" i="33" s="1"/>
  <c r="N8" i="33"/>
  <c r="I8" i="33"/>
  <c r="K8" i="33" s="1"/>
  <c r="L8" i="33" s="1"/>
  <c r="O8" i="33" s="1"/>
  <c r="O50" i="33" l="1"/>
  <c r="N192" i="30"/>
  <c r="L192" i="30"/>
  <c r="O192" i="30" s="1"/>
  <c r="F194" i="30"/>
  <c r="P8" i="33" l="1"/>
  <c r="D45" i="32" l="1"/>
  <c r="H32" i="32" s="1"/>
  <c r="N5" i="29" l="1"/>
  <c r="I5" i="29"/>
  <c r="K5" i="29" s="1"/>
  <c r="L5" i="29" s="1"/>
  <c r="O5" i="29" s="1"/>
  <c r="N167" i="30"/>
  <c r="I167" i="30"/>
  <c r="K167" i="30" s="1"/>
  <c r="L167" i="30" s="1"/>
  <c r="O167" i="30" s="1"/>
  <c r="A222" i="30"/>
  <c r="F221" i="30"/>
  <c r="N220" i="30"/>
  <c r="K220" i="30"/>
  <c r="L220" i="30" s="1"/>
  <c r="O220" i="30" s="1"/>
  <c r="N219" i="30"/>
  <c r="I219" i="30"/>
  <c r="K219" i="30" s="1"/>
  <c r="L219" i="30" s="1"/>
  <c r="N218" i="30"/>
  <c r="I218" i="30"/>
  <c r="K218" i="30" s="1"/>
  <c r="L218" i="30" s="1"/>
  <c r="N217" i="30"/>
  <c r="I217" i="30"/>
  <c r="K217" i="30" s="1"/>
  <c r="L217" i="30" s="1"/>
  <c r="F215" i="30"/>
  <c r="N214" i="30"/>
  <c r="I214" i="30"/>
  <c r="K214" i="30" s="1"/>
  <c r="L214" i="30" s="1"/>
  <c r="N213" i="30"/>
  <c r="I213" i="30"/>
  <c r="K213" i="30" s="1"/>
  <c r="L213" i="30" s="1"/>
  <c r="O213" i="30" s="1"/>
  <c r="N212" i="30"/>
  <c r="I212" i="30"/>
  <c r="K212" i="30" s="1"/>
  <c r="L212" i="30" s="1"/>
  <c r="N211" i="30"/>
  <c r="I211" i="30"/>
  <c r="K211" i="30" s="1"/>
  <c r="L211" i="30" s="1"/>
  <c r="O211" i="30" s="1"/>
  <c r="N210" i="30"/>
  <c r="L210" i="30"/>
  <c r="I210" i="30"/>
  <c r="N209" i="30"/>
  <c r="L209" i="30"/>
  <c r="O209" i="30" s="1"/>
  <c r="I209" i="30"/>
  <c r="N208" i="30"/>
  <c r="I208" i="30"/>
  <c r="K208" i="30" s="1"/>
  <c r="L208" i="30" s="1"/>
  <c r="O208" i="30" s="1"/>
  <c r="N207" i="30"/>
  <c r="K207" i="30"/>
  <c r="L207" i="30" s="1"/>
  <c r="I207" i="30"/>
  <c r="N206" i="30"/>
  <c r="I206" i="30"/>
  <c r="K206" i="30" s="1"/>
  <c r="L206" i="30" s="1"/>
  <c r="O206" i="30" s="1"/>
  <c r="N205" i="30"/>
  <c r="L205" i="30"/>
  <c r="I205" i="30"/>
  <c r="N204" i="30"/>
  <c r="I204" i="30"/>
  <c r="K204" i="30" s="1"/>
  <c r="L204" i="30" s="1"/>
  <c r="N203" i="30"/>
  <c r="L203" i="30"/>
  <c r="I203" i="30"/>
  <c r="N202" i="30"/>
  <c r="I202" i="30"/>
  <c r="K202" i="30" s="1"/>
  <c r="L202" i="30" s="1"/>
  <c r="N201" i="30"/>
  <c r="I201" i="30"/>
  <c r="K201" i="30" s="1"/>
  <c r="L201" i="30" s="1"/>
  <c r="O201" i="30" s="1"/>
  <c r="N200" i="30"/>
  <c r="L200" i="30"/>
  <c r="I200" i="30"/>
  <c r="N199" i="30"/>
  <c r="I199" i="30"/>
  <c r="K199" i="30" s="1"/>
  <c r="L199" i="30" s="1"/>
  <c r="N198" i="30"/>
  <c r="I198" i="30"/>
  <c r="K198" i="30" s="1"/>
  <c r="L198" i="30" s="1"/>
  <c r="O198" i="30" s="1"/>
  <c r="N197" i="30"/>
  <c r="I197" i="30"/>
  <c r="K197" i="30" s="1"/>
  <c r="L197" i="30" s="1"/>
  <c r="N196" i="30"/>
  <c r="I196" i="30"/>
  <c r="K196" i="30" s="1"/>
  <c r="L196" i="30" s="1"/>
  <c r="N193" i="30"/>
  <c r="L193" i="30"/>
  <c r="N191" i="30"/>
  <c r="L191" i="30"/>
  <c r="N190" i="30"/>
  <c r="K190" i="30"/>
  <c r="L190" i="30" s="1"/>
  <c r="N189" i="30"/>
  <c r="I189" i="30"/>
  <c r="K189" i="30" s="1"/>
  <c r="L189" i="30" s="1"/>
  <c r="N188" i="30"/>
  <c r="I188" i="30"/>
  <c r="K188" i="30" s="1"/>
  <c r="L188" i="30" s="1"/>
  <c r="N187" i="30"/>
  <c r="I187" i="30"/>
  <c r="K187" i="30" s="1"/>
  <c r="L187" i="30" s="1"/>
  <c r="N186" i="30"/>
  <c r="I186" i="30"/>
  <c r="K186" i="30" s="1"/>
  <c r="L186" i="30" s="1"/>
  <c r="N185" i="30"/>
  <c r="I185" i="30"/>
  <c r="K185" i="30" s="1"/>
  <c r="L185" i="30" s="1"/>
  <c r="N184" i="30"/>
  <c r="I184" i="30"/>
  <c r="K184" i="30" s="1"/>
  <c r="L184" i="30" s="1"/>
  <c r="N183" i="30"/>
  <c r="I183" i="30"/>
  <c r="K183" i="30" s="1"/>
  <c r="L183" i="30" s="1"/>
  <c r="O183" i="30" s="1"/>
  <c r="N182" i="30"/>
  <c r="I182" i="30"/>
  <c r="K182" i="30" s="1"/>
  <c r="L182" i="30" s="1"/>
  <c r="N181" i="30"/>
  <c r="I181" i="30"/>
  <c r="K181" i="30" s="1"/>
  <c r="L181" i="30" s="1"/>
  <c r="O181" i="30" s="1"/>
  <c r="N180" i="30"/>
  <c r="I180" i="30"/>
  <c r="K180" i="30" s="1"/>
  <c r="L180" i="30" s="1"/>
  <c r="N179" i="30"/>
  <c r="I179" i="30"/>
  <c r="K179" i="30" s="1"/>
  <c r="L179" i="30" s="1"/>
  <c r="O179" i="30" s="1"/>
  <c r="N178" i="30"/>
  <c r="I178" i="30"/>
  <c r="K178" i="30" s="1"/>
  <c r="L178" i="30" s="1"/>
  <c r="N177" i="30"/>
  <c r="I177" i="30"/>
  <c r="K177" i="30" s="1"/>
  <c r="L177" i="30" s="1"/>
  <c r="O177" i="30" s="1"/>
  <c r="N176" i="30"/>
  <c r="I176" i="30"/>
  <c r="K176" i="30" s="1"/>
  <c r="L176" i="30" s="1"/>
  <c r="N175" i="30"/>
  <c r="I175" i="30"/>
  <c r="K175" i="30" s="1"/>
  <c r="L175" i="30" s="1"/>
  <c r="O175" i="30" s="1"/>
  <c r="N174" i="30"/>
  <c r="I174" i="30"/>
  <c r="K174" i="30" s="1"/>
  <c r="L174" i="30" s="1"/>
  <c r="N173" i="30"/>
  <c r="I173" i="30"/>
  <c r="K173" i="30" s="1"/>
  <c r="L173" i="30" s="1"/>
  <c r="O173" i="30" s="1"/>
  <c r="N172" i="30"/>
  <c r="I172" i="30"/>
  <c r="K172" i="30" s="1"/>
  <c r="L172" i="30" s="1"/>
  <c r="N171" i="30"/>
  <c r="I171" i="30"/>
  <c r="K171" i="30" s="1"/>
  <c r="L171" i="30" s="1"/>
  <c r="O171" i="30" s="1"/>
  <c r="N170" i="30"/>
  <c r="I170" i="30"/>
  <c r="K170" i="30" s="1"/>
  <c r="L170" i="30" s="1"/>
  <c r="N169" i="30"/>
  <c r="I169" i="30"/>
  <c r="K169" i="30" s="1"/>
  <c r="L169" i="30" s="1"/>
  <c r="O169" i="30" s="1"/>
  <c r="N168" i="30"/>
  <c r="I168" i="30"/>
  <c r="K168" i="30" s="1"/>
  <c r="L168" i="30" s="1"/>
  <c r="N166" i="30"/>
  <c r="I166" i="30"/>
  <c r="K166" i="30" s="1"/>
  <c r="L166" i="30" s="1"/>
  <c r="N165" i="30"/>
  <c r="I165" i="30"/>
  <c r="K165" i="30" s="1"/>
  <c r="L165" i="30" s="1"/>
  <c r="N164" i="30"/>
  <c r="I164" i="30"/>
  <c r="K164" i="30" s="1"/>
  <c r="L164" i="30" s="1"/>
  <c r="N163" i="30"/>
  <c r="I163" i="30"/>
  <c r="K163" i="30" s="1"/>
  <c r="L163" i="30" s="1"/>
  <c r="N162" i="30"/>
  <c r="I162" i="30"/>
  <c r="K162" i="30" s="1"/>
  <c r="L162" i="30" s="1"/>
  <c r="O162" i="30" s="1"/>
  <c r="N161" i="30"/>
  <c r="I161" i="30"/>
  <c r="K161" i="30" s="1"/>
  <c r="L161" i="30" s="1"/>
  <c r="I160" i="30"/>
  <c r="K160" i="30" s="1"/>
  <c r="L160" i="30" s="1"/>
  <c r="O160" i="30" s="1"/>
  <c r="N159" i="30"/>
  <c r="I159" i="30"/>
  <c r="K159" i="30" s="1"/>
  <c r="L159" i="30" s="1"/>
  <c r="O159" i="30" s="1"/>
  <c r="N158" i="30"/>
  <c r="I158" i="30"/>
  <c r="K158" i="30" s="1"/>
  <c r="L158" i="30" s="1"/>
  <c r="N157" i="30"/>
  <c r="I157" i="30"/>
  <c r="K157" i="30" s="1"/>
  <c r="L157" i="30" s="1"/>
  <c r="O157" i="30" s="1"/>
  <c r="N156" i="30"/>
  <c r="I156" i="30"/>
  <c r="K156" i="30" s="1"/>
  <c r="L156" i="30" s="1"/>
  <c r="N155" i="30"/>
  <c r="I155" i="30"/>
  <c r="K155" i="30" s="1"/>
  <c r="L155" i="30" s="1"/>
  <c r="O155" i="30" s="1"/>
  <c r="N154" i="30"/>
  <c r="I154" i="30"/>
  <c r="K154" i="30" s="1"/>
  <c r="L154" i="30" s="1"/>
  <c r="N153" i="30"/>
  <c r="K153" i="30"/>
  <c r="L153" i="30" s="1"/>
  <c r="O153" i="30" s="1"/>
  <c r="I153" i="30"/>
  <c r="N152" i="30"/>
  <c r="I152" i="30"/>
  <c r="K152" i="30" s="1"/>
  <c r="L152" i="30" s="1"/>
  <c r="N151" i="30"/>
  <c r="I151" i="30"/>
  <c r="K151" i="30" s="1"/>
  <c r="L151" i="30" s="1"/>
  <c r="F149" i="30"/>
  <c r="O148" i="30"/>
  <c r="O149" i="30" s="1"/>
  <c r="L148" i="30"/>
  <c r="O147" i="30"/>
  <c r="L147" i="30"/>
  <c r="F145" i="30"/>
  <c r="O144" i="30"/>
  <c r="N144" i="30"/>
  <c r="I144" i="30"/>
  <c r="K144" i="30" s="1"/>
  <c r="L144" i="30" s="1"/>
  <c r="N143" i="30"/>
  <c r="K143" i="30"/>
  <c r="L143" i="30" s="1"/>
  <c r="I143" i="30"/>
  <c r="N142" i="30"/>
  <c r="I142" i="30"/>
  <c r="K142" i="30" s="1"/>
  <c r="L142" i="30" s="1"/>
  <c r="O142" i="30" s="1"/>
  <c r="N141" i="30"/>
  <c r="I141" i="30"/>
  <c r="K141" i="30" s="1"/>
  <c r="L141" i="30" s="1"/>
  <c r="N140" i="30"/>
  <c r="I140" i="30"/>
  <c r="K140" i="30" s="1"/>
  <c r="L140" i="30" s="1"/>
  <c r="I139" i="30"/>
  <c r="K139" i="30" s="1"/>
  <c r="L139" i="30" s="1"/>
  <c r="F137" i="30"/>
  <c r="N136" i="30"/>
  <c r="I136" i="30"/>
  <c r="K136" i="30" s="1"/>
  <c r="L136" i="30" s="1"/>
  <c r="O136" i="30" s="1"/>
  <c r="N135" i="30"/>
  <c r="I135" i="30"/>
  <c r="K135" i="30" s="1"/>
  <c r="L135" i="30" s="1"/>
  <c r="I134" i="30"/>
  <c r="K134" i="30" s="1"/>
  <c r="L134" i="30" s="1"/>
  <c r="I133" i="30"/>
  <c r="K133" i="30" s="1"/>
  <c r="L133" i="30" s="1"/>
  <c r="O133" i="30" s="1"/>
  <c r="N132" i="30"/>
  <c r="I132" i="30"/>
  <c r="K132" i="30" s="1"/>
  <c r="L132" i="30" s="1"/>
  <c r="N131" i="30"/>
  <c r="I131" i="30"/>
  <c r="K131" i="30" s="1"/>
  <c r="L131" i="30" s="1"/>
  <c r="I130" i="30"/>
  <c r="K130" i="30" s="1"/>
  <c r="L130" i="30" s="1"/>
  <c r="O130" i="30" s="1"/>
  <c r="N129" i="30"/>
  <c r="I129" i="30"/>
  <c r="K129" i="30" s="1"/>
  <c r="L129" i="30" s="1"/>
  <c r="N128" i="30"/>
  <c r="I128" i="30"/>
  <c r="K128" i="30" s="1"/>
  <c r="L128" i="30" s="1"/>
  <c r="N127" i="30"/>
  <c r="I127" i="30"/>
  <c r="K127" i="30" s="1"/>
  <c r="L127" i="30" s="1"/>
  <c r="O127" i="30" s="1"/>
  <c r="K126" i="30"/>
  <c r="L126" i="30" s="1"/>
  <c r="O126" i="30" s="1"/>
  <c r="I126" i="30"/>
  <c r="N125" i="30"/>
  <c r="I125" i="30"/>
  <c r="K125" i="30" s="1"/>
  <c r="L125" i="30" s="1"/>
  <c r="N124" i="30"/>
  <c r="I124" i="30"/>
  <c r="K124" i="30" s="1"/>
  <c r="L124" i="30" s="1"/>
  <c r="I123" i="30"/>
  <c r="K123" i="30" s="1"/>
  <c r="L123" i="30" s="1"/>
  <c r="O123" i="30" s="1"/>
  <c r="N122" i="30"/>
  <c r="I122" i="30"/>
  <c r="K122" i="30" s="1"/>
  <c r="L122" i="30" s="1"/>
  <c r="N121" i="30"/>
  <c r="I121" i="30"/>
  <c r="K121" i="30" s="1"/>
  <c r="L121" i="30" s="1"/>
  <c r="N120" i="30"/>
  <c r="I120" i="30"/>
  <c r="K120" i="30" s="1"/>
  <c r="L120" i="30" s="1"/>
  <c r="F118" i="30"/>
  <c r="N117" i="30"/>
  <c r="I117" i="30"/>
  <c r="K117" i="30" s="1"/>
  <c r="L117" i="30" s="1"/>
  <c r="N116" i="30"/>
  <c r="I116" i="30"/>
  <c r="K116" i="30" s="1"/>
  <c r="L116" i="30" s="1"/>
  <c r="N115" i="30"/>
  <c r="I115" i="30"/>
  <c r="K115" i="30" s="1"/>
  <c r="L115" i="30" s="1"/>
  <c r="I114" i="30"/>
  <c r="K114" i="30" s="1"/>
  <c r="L114" i="30" s="1"/>
  <c r="O114" i="30" s="1"/>
  <c r="N113" i="30"/>
  <c r="I113" i="30"/>
  <c r="K113" i="30" s="1"/>
  <c r="L113" i="30" s="1"/>
  <c r="N112" i="30"/>
  <c r="I112" i="30"/>
  <c r="K112" i="30" s="1"/>
  <c r="L112" i="30" s="1"/>
  <c r="O112" i="30" s="1"/>
  <c r="N111" i="30"/>
  <c r="I111" i="30"/>
  <c r="K111" i="30" s="1"/>
  <c r="L111" i="30" s="1"/>
  <c r="F109" i="30"/>
  <c r="N108" i="30"/>
  <c r="K108" i="30"/>
  <c r="L108" i="30" s="1"/>
  <c r="N107" i="30"/>
  <c r="I107" i="30"/>
  <c r="K107" i="30" s="1"/>
  <c r="L107" i="30" s="1"/>
  <c r="I106" i="30"/>
  <c r="K106" i="30" s="1"/>
  <c r="L106" i="30" s="1"/>
  <c r="O106" i="30" s="1"/>
  <c r="N105" i="30"/>
  <c r="K105" i="30"/>
  <c r="L105" i="30" s="1"/>
  <c r="I104" i="30"/>
  <c r="K104" i="30" s="1"/>
  <c r="L104" i="30" s="1"/>
  <c r="O104" i="30" s="1"/>
  <c r="N103" i="30"/>
  <c r="I103" i="30"/>
  <c r="K103" i="30" s="1"/>
  <c r="L103" i="30" s="1"/>
  <c r="N102" i="30"/>
  <c r="K102" i="30"/>
  <c r="L102" i="30" s="1"/>
  <c r="N101" i="30"/>
  <c r="L101" i="30"/>
  <c r="K101" i="30"/>
  <c r="N100" i="30"/>
  <c r="I100" i="30"/>
  <c r="K100" i="30" s="1"/>
  <c r="L100" i="30" s="1"/>
  <c r="N99" i="30"/>
  <c r="I99" i="30"/>
  <c r="K99" i="30" s="1"/>
  <c r="L99" i="30" s="1"/>
  <c r="N98" i="30"/>
  <c r="I98" i="30"/>
  <c r="K98" i="30" s="1"/>
  <c r="L98" i="30" s="1"/>
  <c r="N97" i="30"/>
  <c r="I97" i="30"/>
  <c r="K97" i="30" s="1"/>
  <c r="L97" i="30" s="1"/>
  <c r="N96" i="30"/>
  <c r="I96" i="30"/>
  <c r="K96" i="30" s="1"/>
  <c r="L96" i="30" s="1"/>
  <c r="N95" i="30"/>
  <c r="I95" i="30"/>
  <c r="K95" i="30" s="1"/>
  <c r="F93" i="30"/>
  <c r="N88" i="30"/>
  <c r="I88" i="30"/>
  <c r="K88" i="30" s="1"/>
  <c r="L88" i="30" s="1"/>
  <c r="N87" i="30"/>
  <c r="I87" i="30"/>
  <c r="K87" i="30" s="1"/>
  <c r="L87" i="30" s="1"/>
  <c r="N86" i="30"/>
  <c r="I86" i="30"/>
  <c r="K86" i="30" s="1"/>
  <c r="L86" i="30" s="1"/>
  <c r="N85" i="30"/>
  <c r="I85" i="30"/>
  <c r="K85" i="30" s="1"/>
  <c r="L85" i="30" s="1"/>
  <c r="N84" i="30"/>
  <c r="K84" i="30"/>
  <c r="L84" i="30" s="1"/>
  <c r="I84" i="30"/>
  <c r="N83" i="30"/>
  <c r="I83" i="30"/>
  <c r="K83" i="30" s="1"/>
  <c r="L83" i="30" s="1"/>
  <c r="N82" i="30"/>
  <c r="I82" i="30"/>
  <c r="K82" i="30" s="1"/>
  <c r="L82" i="30" s="1"/>
  <c r="N81" i="30"/>
  <c r="I81" i="30"/>
  <c r="K81" i="30" s="1"/>
  <c r="L81" i="30" s="1"/>
  <c r="N80" i="30"/>
  <c r="G80" i="30"/>
  <c r="I80" i="30" s="1"/>
  <c r="K80" i="30" s="1"/>
  <c r="L80" i="30" s="1"/>
  <c r="N79" i="30"/>
  <c r="I79" i="30"/>
  <c r="K79" i="30" s="1"/>
  <c r="L79" i="30" s="1"/>
  <c r="N78" i="30"/>
  <c r="I78" i="30"/>
  <c r="K78" i="30" s="1"/>
  <c r="L78" i="30" s="1"/>
  <c r="N77" i="30"/>
  <c r="I77" i="30"/>
  <c r="K77" i="30" s="1"/>
  <c r="L77" i="30" s="1"/>
  <c r="O77" i="30" s="1"/>
  <c r="N76" i="30"/>
  <c r="I76" i="30"/>
  <c r="K76" i="30" s="1"/>
  <c r="L76" i="30" s="1"/>
  <c r="N75" i="30"/>
  <c r="I75" i="30"/>
  <c r="K75" i="30" s="1"/>
  <c r="L75" i="30" s="1"/>
  <c r="O75" i="30" s="1"/>
  <c r="N74" i="30"/>
  <c r="I74" i="30"/>
  <c r="K74" i="30" s="1"/>
  <c r="L74" i="30" s="1"/>
  <c r="N73" i="30"/>
  <c r="I73" i="30"/>
  <c r="K73" i="30" s="1"/>
  <c r="L73" i="30" s="1"/>
  <c r="O73" i="30" s="1"/>
  <c r="N72" i="30"/>
  <c r="I72" i="30"/>
  <c r="K72" i="30" s="1"/>
  <c r="L72" i="30" s="1"/>
  <c r="N71" i="30"/>
  <c r="I71" i="30"/>
  <c r="K71" i="30" s="1"/>
  <c r="L71" i="30" s="1"/>
  <c r="N70" i="30"/>
  <c r="I70" i="30"/>
  <c r="K70" i="30" s="1"/>
  <c r="L70" i="30" s="1"/>
  <c r="N69" i="30"/>
  <c r="I69" i="30"/>
  <c r="K69" i="30" s="1"/>
  <c r="L69" i="30" s="1"/>
  <c r="N68" i="30"/>
  <c r="I68" i="30"/>
  <c r="K68" i="30" s="1"/>
  <c r="L68" i="30" s="1"/>
  <c r="N67" i="30"/>
  <c r="I67" i="30"/>
  <c r="K67" i="30" s="1"/>
  <c r="L67" i="30" s="1"/>
  <c r="N66" i="30"/>
  <c r="I66" i="30"/>
  <c r="K66" i="30" s="1"/>
  <c r="L66" i="30" s="1"/>
  <c r="N65" i="30"/>
  <c r="G65" i="30"/>
  <c r="I65" i="30" s="1"/>
  <c r="K65" i="30" s="1"/>
  <c r="F63" i="30"/>
  <c r="N62" i="30"/>
  <c r="I62" i="30"/>
  <c r="K62" i="30" s="1"/>
  <c r="L62" i="30" s="1"/>
  <c r="N61" i="30"/>
  <c r="I61" i="30"/>
  <c r="K61" i="30" s="1"/>
  <c r="L61" i="30" s="1"/>
  <c r="N60" i="30"/>
  <c r="I60" i="30"/>
  <c r="K60" i="30" s="1"/>
  <c r="L60" i="30" s="1"/>
  <c r="N59" i="30"/>
  <c r="I59" i="30"/>
  <c r="K59" i="30" s="1"/>
  <c r="L59" i="30" s="1"/>
  <c r="I58" i="30"/>
  <c r="K58" i="30" s="1"/>
  <c r="L58" i="30" s="1"/>
  <c r="O58" i="30" s="1"/>
  <c r="N57" i="30"/>
  <c r="I57" i="30"/>
  <c r="K57" i="30" s="1"/>
  <c r="L57" i="30" s="1"/>
  <c r="N56" i="30"/>
  <c r="G56" i="30"/>
  <c r="I56" i="30" s="1"/>
  <c r="K56" i="30" s="1"/>
  <c r="L56" i="30" s="1"/>
  <c r="N55" i="30"/>
  <c r="I55" i="30"/>
  <c r="K55" i="30" s="1"/>
  <c r="L55" i="30" s="1"/>
  <c r="N54" i="30"/>
  <c r="I54" i="30"/>
  <c r="K54" i="30" s="1"/>
  <c r="L54" i="30" s="1"/>
  <c r="I53" i="30"/>
  <c r="K53" i="30" s="1"/>
  <c r="L53" i="30" s="1"/>
  <c r="O53" i="30" s="1"/>
  <c r="N52" i="30"/>
  <c r="I52" i="30"/>
  <c r="K52" i="30" s="1"/>
  <c r="L52" i="30" s="1"/>
  <c r="N51" i="30"/>
  <c r="I51" i="30"/>
  <c r="K51" i="30" s="1"/>
  <c r="L51" i="30" s="1"/>
  <c r="N50" i="30"/>
  <c r="I50" i="30"/>
  <c r="K50" i="30" s="1"/>
  <c r="L50" i="30" s="1"/>
  <c r="N49" i="30"/>
  <c r="I49" i="30"/>
  <c r="K49" i="30" s="1"/>
  <c r="L49" i="30" s="1"/>
  <c r="N48" i="30"/>
  <c r="I48" i="30"/>
  <c r="K48" i="30" s="1"/>
  <c r="L48" i="30" s="1"/>
  <c r="N47" i="30"/>
  <c r="I47" i="30"/>
  <c r="K47" i="30" s="1"/>
  <c r="L47" i="30" s="1"/>
  <c r="N46" i="30"/>
  <c r="I46" i="30"/>
  <c r="K46" i="30" s="1"/>
  <c r="L46" i="30" s="1"/>
  <c r="O46" i="30" s="1"/>
  <c r="N45" i="30"/>
  <c r="I45" i="30"/>
  <c r="K45" i="30" s="1"/>
  <c r="L45" i="30" s="1"/>
  <c r="F43" i="30"/>
  <c r="N42" i="30"/>
  <c r="I42" i="30"/>
  <c r="K42" i="30" s="1"/>
  <c r="L42" i="30" s="1"/>
  <c r="N41" i="30"/>
  <c r="I41" i="30"/>
  <c r="K41" i="30" s="1"/>
  <c r="L41" i="30" s="1"/>
  <c r="N40" i="30"/>
  <c r="G40" i="30"/>
  <c r="I40" i="30" s="1"/>
  <c r="K40" i="30" s="1"/>
  <c r="F38" i="30"/>
  <c r="N37" i="30"/>
  <c r="I37" i="30"/>
  <c r="K37" i="30" s="1"/>
  <c r="L37" i="30" s="1"/>
  <c r="N36" i="30"/>
  <c r="I36" i="30"/>
  <c r="K36" i="30" s="1"/>
  <c r="L36" i="30" s="1"/>
  <c r="O36" i="30" s="1"/>
  <c r="N35" i="30"/>
  <c r="I35" i="30"/>
  <c r="K35" i="30" s="1"/>
  <c r="L35" i="30" s="1"/>
  <c r="I34" i="30"/>
  <c r="K34" i="30" s="1"/>
  <c r="L34" i="30" s="1"/>
  <c r="O34" i="30" s="1"/>
  <c r="N33" i="30"/>
  <c r="I33" i="30"/>
  <c r="K33" i="30" s="1"/>
  <c r="L33" i="30" s="1"/>
  <c r="N32" i="30"/>
  <c r="I32" i="30"/>
  <c r="K32" i="30" s="1"/>
  <c r="L32" i="30" s="1"/>
  <c r="N31" i="30"/>
  <c r="I31" i="30"/>
  <c r="K31" i="30" s="1"/>
  <c r="L31" i="30" s="1"/>
  <c r="N30" i="30"/>
  <c r="I30" i="30"/>
  <c r="K30" i="30" s="1"/>
  <c r="L30" i="30" s="1"/>
  <c r="N29" i="30"/>
  <c r="I29" i="30"/>
  <c r="K29" i="30" s="1"/>
  <c r="L29" i="30" s="1"/>
  <c r="N28" i="30"/>
  <c r="I28" i="30"/>
  <c r="K28" i="30" s="1"/>
  <c r="L28" i="30" s="1"/>
  <c r="N27" i="30"/>
  <c r="K27" i="30"/>
  <c r="L27" i="30" s="1"/>
  <c r="N26" i="30"/>
  <c r="I26" i="30"/>
  <c r="K26" i="30" s="1"/>
  <c r="L26" i="30" s="1"/>
  <c r="F24" i="30"/>
  <c r="G23" i="30"/>
  <c r="I23" i="30" s="1"/>
  <c r="K23" i="30" s="1"/>
  <c r="L23" i="30" s="1"/>
  <c r="O23" i="30" s="1"/>
  <c r="G22" i="30"/>
  <c r="I22" i="30" s="1"/>
  <c r="K22" i="30" s="1"/>
  <c r="L22" i="30" s="1"/>
  <c r="O22" i="30" s="1"/>
  <c r="N21" i="30"/>
  <c r="N24" i="30" s="1"/>
  <c r="K21" i="30"/>
  <c r="L21" i="30" s="1"/>
  <c r="G21" i="30"/>
  <c r="F19" i="30"/>
  <c r="N18" i="30"/>
  <c r="G18" i="30"/>
  <c r="I18" i="30" s="1"/>
  <c r="K18" i="30" s="1"/>
  <c r="L18" i="30" s="1"/>
  <c r="G17" i="30"/>
  <c r="I17" i="30" s="1"/>
  <c r="K17" i="30" s="1"/>
  <c r="L17" i="30" s="1"/>
  <c r="O17" i="30" s="1"/>
  <c r="N16" i="30"/>
  <c r="G16" i="30"/>
  <c r="I16" i="30" s="1"/>
  <c r="K16" i="30" s="1"/>
  <c r="L16" i="30" s="1"/>
  <c r="N15" i="30"/>
  <c r="G15" i="30"/>
  <c r="I15" i="30" s="1"/>
  <c r="K15" i="30" s="1"/>
  <c r="L15" i="30" s="1"/>
  <c r="N14" i="30"/>
  <c r="I14" i="30"/>
  <c r="K14" i="30" s="1"/>
  <c r="L14" i="30" s="1"/>
  <c r="N13" i="30"/>
  <c r="I13" i="30"/>
  <c r="K13" i="30" s="1"/>
  <c r="L13" i="30" s="1"/>
  <c r="N12" i="30"/>
  <c r="I12" i="30"/>
  <c r="K12" i="30" s="1"/>
  <c r="L12" i="30" s="1"/>
  <c r="O12" i="30" s="1"/>
  <c r="N11" i="30"/>
  <c r="I11" i="30"/>
  <c r="K11" i="30" s="1"/>
  <c r="L11" i="30" s="1"/>
  <c r="N10" i="30"/>
  <c r="I10" i="30"/>
  <c r="K10" i="30" s="1"/>
  <c r="L10" i="30" s="1"/>
  <c r="O28" i="30" l="1"/>
  <c r="O15" i="30"/>
  <c r="O66" i="30"/>
  <c r="O70" i="30"/>
  <c r="O113" i="30"/>
  <c r="O121" i="30"/>
  <c r="O219" i="30"/>
  <c r="O29" i="30"/>
  <c r="O33" i="30"/>
  <c r="O47" i="30"/>
  <c r="O84" i="30"/>
  <c r="O86" i="30"/>
  <c r="O88" i="30"/>
  <c r="O101" i="30"/>
  <c r="O116" i="30"/>
  <c r="O168" i="30"/>
  <c r="O172" i="30"/>
  <c r="O176" i="30"/>
  <c r="O180" i="30"/>
  <c r="O184" i="30"/>
  <c r="O190" i="30"/>
  <c r="O210" i="30"/>
  <c r="N215" i="30"/>
  <c r="O54" i="30"/>
  <c r="O185" i="30"/>
  <c r="O187" i="30"/>
  <c r="O200" i="30"/>
  <c r="O202" i="30"/>
  <c r="O212" i="30"/>
  <c r="O11" i="30"/>
  <c r="O16" i="30"/>
  <c r="O35" i="30"/>
  <c r="O52" i="30"/>
  <c r="O62" i="30"/>
  <c r="O78" i="30"/>
  <c r="O105" i="30"/>
  <c r="O117" i="30"/>
  <c r="O122" i="30"/>
  <c r="O128" i="30"/>
  <c r="O158" i="30"/>
  <c r="O164" i="30"/>
  <c r="O191" i="30"/>
  <c r="O199" i="30"/>
  <c r="O207" i="30"/>
  <c r="O214" i="30"/>
  <c r="N221" i="30"/>
  <c r="O218" i="30"/>
  <c r="O14" i="30"/>
  <c r="O49" i="30"/>
  <c r="O60" i="30"/>
  <c r="O80" i="30"/>
  <c r="O82" i="30"/>
  <c r="O97" i="30"/>
  <c r="O107" i="30"/>
  <c r="O124" i="30"/>
  <c r="O140" i="30"/>
  <c r="O189" i="30"/>
  <c r="O203" i="30"/>
  <c r="K43" i="30"/>
  <c r="N43" i="30"/>
  <c r="O42" i="30"/>
  <c r="O57" i="30"/>
  <c r="O69" i="30"/>
  <c r="O72" i="30"/>
  <c r="O83" i="30"/>
  <c r="O98" i="30"/>
  <c r="O100" i="30"/>
  <c r="O103" i="30"/>
  <c r="O108" i="30"/>
  <c r="O120" i="30"/>
  <c r="O125" i="30"/>
  <c r="L221" i="30"/>
  <c r="L19" i="30"/>
  <c r="O27" i="30"/>
  <c r="O31" i="30"/>
  <c r="O71" i="30"/>
  <c r="O76" i="30"/>
  <c r="O79" i="30"/>
  <c r="O81" i="30"/>
  <c r="N109" i="30"/>
  <c r="O102" i="30"/>
  <c r="O129" i="30"/>
  <c r="O143" i="30"/>
  <c r="O154" i="30"/>
  <c r="O163" i="30"/>
  <c r="O188" i="30"/>
  <c r="O197" i="30"/>
  <c r="O205" i="30"/>
  <c r="O37" i="30"/>
  <c r="N63" i="30"/>
  <c r="L149" i="30"/>
  <c r="O51" i="30"/>
  <c r="O56" i="30"/>
  <c r="O68" i="30"/>
  <c r="O74" i="30"/>
  <c r="O85" i="30"/>
  <c r="O87" i="30"/>
  <c r="O96" i="30"/>
  <c r="N118" i="30"/>
  <c r="N137" i="30"/>
  <c r="O131" i="30"/>
  <c r="O166" i="30"/>
  <c r="O193" i="30"/>
  <c r="L194" i="30"/>
  <c r="L38" i="30"/>
  <c r="L63" i="30"/>
  <c r="N19" i="30"/>
  <c r="L24" i="30"/>
  <c r="O21" i="30"/>
  <c r="O24" i="30" s="1"/>
  <c r="N93" i="30"/>
  <c r="O10" i="30"/>
  <c r="O26" i="30"/>
  <c r="O32" i="30"/>
  <c r="L40" i="30"/>
  <c r="O41" i="30"/>
  <c r="O45" i="30"/>
  <c r="O50" i="30"/>
  <c r="O55" i="30"/>
  <c r="O61" i="30"/>
  <c r="K93" i="30"/>
  <c r="L65" i="30"/>
  <c r="N38" i="30"/>
  <c r="K63" i="30"/>
  <c r="K19" i="30"/>
  <c r="O13" i="30"/>
  <c r="O18" i="30"/>
  <c r="K38" i="30"/>
  <c r="O30" i="30"/>
  <c r="O48" i="30"/>
  <c r="O59" i="30"/>
  <c r="O67" i="30"/>
  <c r="L95" i="30"/>
  <c r="K109" i="30"/>
  <c r="K137" i="30"/>
  <c r="O151" i="30"/>
  <c r="O115" i="30"/>
  <c r="O135" i="30"/>
  <c r="O139" i="30"/>
  <c r="L145" i="30"/>
  <c r="O152" i="30"/>
  <c r="O156" i="30"/>
  <c r="O186" i="30"/>
  <c r="O196" i="30"/>
  <c r="L215" i="30"/>
  <c r="O204" i="30"/>
  <c r="F222" i="30"/>
  <c r="O99" i="30"/>
  <c r="O111" i="30"/>
  <c r="L118" i="30"/>
  <c r="L137" i="30"/>
  <c r="O132" i="30"/>
  <c r="N145" i="30"/>
  <c r="O141" i="30"/>
  <c r="N194" i="30"/>
  <c r="O161" i="30"/>
  <c r="O165" i="30"/>
  <c r="O170" i="30"/>
  <c r="O174" i="30"/>
  <c r="O178" i="30"/>
  <c r="O182" i="30"/>
  <c r="O217" i="30"/>
  <c r="O137" i="30" l="1"/>
  <c r="O215" i="30"/>
  <c r="O221" i="30"/>
  <c r="O118" i="30"/>
  <c r="O63" i="30"/>
  <c r="O38" i="30"/>
  <c r="N222" i="30"/>
  <c r="O194" i="30"/>
  <c r="O145" i="30"/>
  <c r="L93" i="30"/>
  <c r="O65" i="30"/>
  <c r="O93" i="30" s="1"/>
  <c r="L43" i="30"/>
  <c r="O40" i="30"/>
  <c r="O43" i="30" s="1"/>
  <c r="O19" i="30"/>
  <c r="L109" i="30"/>
  <c r="O95" i="30"/>
  <c r="O109" i="30" s="1"/>
  <c r="O222" i="30" l="1"/>
  <c r="L222" i="30"/>
  <c r="A219" i="21"/>
  <c r="N4" i="29" l="1"/>
  <c r="L4" i="29"/>
  <c r="O4" i="29" s="1"/>
  <c r="F136" i="21" l="1"/>
  <c r="N211" i="21" l="1"/>
  <c r="I211" i="21"/>
  <c r="K211" i="21" s="1"/>
  <c r="L211" i="21" s="1"/>
  <c r="N210" i="21"/>
  <c r="I210" i="21"/>
  <c r="K210" i="21" s="1"/>
  <c r="L210" i="21" s="1"/>
  <c r="N209" i="21"/>
  <c r="I209" i="21"/>
  <c r="K209" i="21" s="1"/>
  <c r="L209" i="21" s="1"/>
  <c r="O209" i="21" s="1"/>
  <c r="N208" i="21"/>
  <c r="I208" i="21"/>
  <c r="K208" i="21" s="1"/>
  <c r="L208" i="21" s="1"/>
  <c r="N207" i="21"/>
  <c r="L207" i="21"/>
  <c r="O207" i="21" s="1"/>
  <c r="I207" i="21"/>
  <c r="N206" i="21"/>
  <c r="L206" i="21"/>
  <c r="I206" i="21"/>
  <c r="N205" i="21"/>
  <c r="I205" i="21"/>
  <c r="K205" i="21" s="1"/>
  <c r="L205" i="21" s="1"/>
  <c r="N204" i="21"/>
  <c r="I204" i="21"/>
  <c r="K204" i="21" s="1"/>
  <c r="L204" i="21" s="1"/>
  <c r="O204" i="21" s="1"/>
  <c r="N203" i="21"/>
  <c r="I203" i="21"/>
  <c r="K203" i="21" s="1"/>
  <c r="L203" i="21" s="1"/>
  <c r="N202" i="21"/>
  <c r="L202" i="21"/>
  <c r="O202" i="21" s="1"/>
  <c r="I202" i="21"/>
  <c r="N201" i="21"/>
  <c r="I201" i="21"/>
  <c r="K201" i="21" s="1"/>
  <c r="L201" i="21" s="1"/>
  <c r="N200" i="21"/>
  <c r="L200" i="21"/>
  <c r="I200" i="21"/>
  <c r="N199" i="21"/>
  <c r="I199" i="21"/>
  <c r="K199" i="21" s="1"/>
  <c r="L199" i="21" s="1"/>
  <c r="O199" i="21" s="1"/>
  <c r="N198" i="21"/>
  <c r="I198" i="21"/>
  <c r="K198" i="21" s="1"/>
  <c r="L198" i="21" s="1"/>
  <c r="N197" i="21"/>
  <c r="L197" i="21"/>
  <c r="O197" i="21" s="1"/>
  <c r="I197" i="21"/>
  <c r="N196" i="21"/>
  <c r="I196" i="21"/>
  <c r="K196" i="21" s="1"/>
  <c r="L196" i="21" s="1"/>
  <c r="N195" i="21"/>
  <c r="I195" i="21"/>
  <c r="K195" i="21" s="1"/>
  <c r="L195" i="21" s="1"/>
  <c r="N194" i="21"/>
  <c r="I194" i="21"/>
  <c r="K194" i="21" s="1"/>
  <c r="L194" i="21" s="1"/>
  <c r="N193" i="21"/>
  <c r="I193" i="21"/>
  <c r="K193" i="21" s="1"/>
  <c r="L193" i="21" s="1"/>
  <c r="N190" i="21"/>
  <c r="L190" i="21"/>
  <c r="N189" i="21"/>
  <c r="L189" i="21"/>
  <c r="N188" i="21"/>
  <c r="K188" i="21"/>
  <c r="L188" i="21" s="1"/>
  <c r="N187" i="21"/>
  <c r="I187" i="21"/>
  <c r="K187" i="21" s="1"/>
  <c r="L187" i="21" s="1"/>
  <c r="O187" i="21" s="1"/>
  <c r="N186" i="21"/>
  <c r="I186" i="21"/>
  <c r="K186" i="21" s="1"/>
  <c r="L186" i="21" s="1"/>
  <c r="N185" i="21"/>
  <c r="I185" i="21"/>
  <c r="K185" i="21" s="1"/>
  <c r="L185" i="21" s="1"/>
  <c r="O185" i="21" s="1"/>
  <c r="N184" i="21"/>
  <c r="I184" i="21"/>
  <c r="K184" i="21" s="1"/>
  <c r="L184" i="21" s="1"/>
  <c r="N183" i="21"/>
  <c r="I183" i="21"/>
  <c r="K183" i="21" s="1"/>
  <c r="L183" i="21" s="1"/>
  <c r="O183" i="21" s="1"/>
  <c r="N182" i="21"/>
  <c r="I182" i="21"/>
  <c r="K182" i="21" s="1"/>
  <c r="L182" i="21" s="1"/>
  <c r="N181" i="21"/>
  <c r="I181" i="21"/>
  <c r="K181" i="21" s="1"/>
  <c r="L181" i="21" s="1"/>
  <c r="O181" i="21" s="1"/>
  <c r="N180" i="21"/>
  <c r="I180" i="21"/>
  <c r="K180" i="21" s="1"/>
  <c r="L180" i="21" s="1"/>
  <c r="N179" i="21"/>
  <c r="I179" i="21"/>
  <c r="K179" i="21" s="1"/>
  <c r="L179" i="21" s="1"/>
  <c r="O179" i="21" s="1"/>
  <c r="N178" i="21"/>
  <c r="I178" i="21"/>
  <c r="K178" i="21" s="1"/>
  <c r="L178" i="21" s="1"/>
  <c r="N177" i="21"/>
  <c r="I177" i="21"/>
  <c r="K177" i="21" s="1"/>
  <c r="L177" i="21" s="1"/>
  <c r="N176" i="21"/>
  <c r="I176" i="21"/>
  <c r="K176" i="21" s="1"/>
  <c r="L176" i="21" s="1"/>
  <c r="N175" i="21"/>
  <c r="I175" i="21"/>
  <c r="K175" i="21" s="1"/>
  <c r="L175" i="21" s="1"/>
  <c r="N174" i="21"/>
  <c r="I174" i="21"/>
  <c r="K174" i="21" s="1"/>
  <c r="L174" i="21" s="1"/>
  <c r="N173" i="21"/>
  <c r="I173" i="21"/>
  <c r="K173" i="21" s="1"/>
  <c r="L173" i="21" s="1"/>
  <c r="N172" i="21"/>
  <c r="I172" i="21"/>
  <c r="K172" i="21" s="1"/>
  <c r="L172" i="21" s="1"/>
  <c r="N171" i="21"/>
  <c r="I171" i="21"/>
  <c r="K171" i="21" s="1"/>
  <c r="L171" i="21" s="1"/>
  <c r="N170" i="21"/>
  <c r="I170" i="21"/>
  <c r="K170" i="21" s="1"/>
  <c r="L170" i="21" s="1"/>
  <c r="N169" i="21"/>
  <c r="I169" i="21"/>
  <c r="K169" i="21" s="1"/>
  <c r="L169" i="21" s="1"/>
  <c r="N168" i="21"/>
  <c r="I168" i="21"/>
  <c r="K168" i="21" s="1"/>
  <c r="L168" i="21" s="1"/>
  <c r="N167" i="21"/>
  <c r="I167" i="21"/>
  <c r="K167" i="21" s="1"/>
  <c r="L167" i="21" s="1"/>
  <c r="N166" i="21"/>
  <c r="I166" i="21"/>
  <c r="K166" i="21" s="1"/>
  <c r="L166" i="21" s="1"/>
  <c r="N165" i="21"/>
  <c r="I165" i="21"/>
  <c r="K165" i="21" s="1"/>
  <c r="L165" i="21" s="1"/>
  <c r="N164" i="21"/>
  <c r="I164" i="21"/>
  <c r="K164" i="21" s="1"/>
  <c r="L164" i="21" s="1"/>
  <c r="N163" i="21"/>
  <c r="I163" i="21"/>
  <c r="K163" i="21" s="1"/>
  <c r="L163" i="21" s="1"/>
  <c r="N162" i="21"/>
  <c r="I162" i="21"/>
  <c r="K162" i="21" s="1"/>
  <c r="L162" i="21" s="1"/>
  <c r="N161" i="21"/>
  <c r="I161" i="21"/>
  <c r="K161" i="21" s="1"/>
  <c r="L161" i="21" s="1"/>
  <c r="N160" i="21"/>
  <c r="I160" i="21"/>
  <c r="K160" i="21" s="1"/>
  <c r="L160" i="21" s="1"/>
  <c r="I159" i="21"/>
  <c r="K159" i="21" s="1"/>
  <c r="L159" i="21" s="1"/>
  <c r="O159" i="21" s="1"/>
  <c r="N158" i="21"/>
  <c r="I158" i="21"/>
  <c r="K158" i="21" s="1"/>
  <c r="L158" i="21" s="1"/>
  <c r="N157" i="21"/>
  <c r="I157" i="21"/>
  <c r="K157" i="21" s="1"/>
  <c r="L157" i="21" s="1"/>
  <c r="N156" i="21"/>
  <c r="I156" i="21"/>
  <c r="K156" i="21" s="1"/>
  <c r="L156" i="21" s="1"/>
  <c r="O156" i="21" s="1"/>
  <c r="N155" i="21"/>
  <c r="I155" i="21"/>
  <c r="K155" i="21" s="1"/>
  <c r="L155" i="21" s="1"/>
  <c r="N154" i="21"/>
  <c r="I154" i="21"/>
  <c r="K154" i="21" s="1"/>
  <c r="L154" i="21" s="1"/>
  <c r="N153" i="21"/>
  <c r="I153" i="21"/>
  <c r="K153" i="21" s="1"/>
  <c r="L153" i="21" s="1"/>
  <c r="N152" i="21"/>
  <c r="I152" i="21"/>
  <c r="K152" i="21" s="1"/>
  <c r="L152" i="21" s="1"/>
  <c r="N151" i="21"/>
  <c r="I151" i="21"/>
  <c r="K151" i="21" s="1"/>
  <c r="L151" i="21" s="1"/>
  <c r="N150" i="21"/>
  <c r="I150" i="21"/>
  <c r="K150" i="21" s="1"/>
  <c r="L150" i="21" s="1"/>
  <c r="N135" i="21"/>
  <c r="I135" i="21"/>
  <c r="K135" i="21" s="1"/>
  <c r="L135" i="21" s="1"/>
  <c r="O135" i="21" s="1"/>
  <c r="N134" i="21"/>
  <c r="I134" i="21"/>
  <c r="K134" i="21" s="1"/>
  <c r="L134" i="21" s="1"/>
  <c r="I133" i="21"/>
  <c r="K133" i="21" s="1"/>
  <c r="L133" i="21" s="1"/>
  <c r="I132" i="21"/>
  <c r="K132" i="21" s="1"/>
  <c r="L132" i="21" s="1"/>
  <c r="O132" i="21" s="1"/>
  <c r="N131" i="21"/>
  <c r="I131" i="21"/>
  <c r="K131" i="21" s="1"/>
  <c r="L131" i="21" s="1"/>
  <c r="N130" i="21"/>
  <c r="I130" i="21"/>
  <c r="K130" i="21" s="1"/>
  <c r="L130" i="21" s="1"/>
  <c r="O130" i="21" s="1"/>
  <c r="I129" i="21"/>
  <c r="K129" i="21" s="1"/>
  <c r="L129" i="21" s="1"/>
  <c r="O129" i="21" s="1"/>
  <c r="N128" i="21"/>
  <c r="I128" i="21"/>
  <c r="K128" i="21" s="1"/>
  <c r="L128" i="21" s="1"/>
  <c r="N127" i="21"/>
  <c r="I127" i="21"/>
  <c r="K127" i="21" s="1"/>
  <c r="L127" i="21" s="1"/>
  <c r="N126" i="21"/>
  <c r="I126" i="21"/>
  <c r="K126" i="21" s="1"/>
  <c r="L126" i="21" s="1"/>
  <c r="I125" i="21"/>
  <c r="K125" i="21" s="1"/>
  <c r="L125" i="21" s="1"/>
  <c r="O125" i="21" s="1"/>
  <c r="N124" i="21"/>
  <c r="I124" i="21"/>
  <c r="K124" i="21" s="1"/>
  <c r="L124" i="21" s="1"/>
  <c r="N123" i="21"/>
  <c r="I123" i="21"/>
  <c r="K123" i="21" s="1"/>
  <c r="L123" i="21" s="1"/>
  <c r="O123" i="21" s="1"/>
  <c r="I122" i="21"/>
  <c r="K122" i="21" s="1"/>
  <c r="L122" i="21" s="1"/>
  <c r="O122" i="21" s="1"/>
  <c r="N121" i="21"/>
  <c r="I121" i="21"/>
  <c r="K121" i="21" s="1"/>
  <c r="L121" i="21" s="1"/>
  <c r="N120" i="21"/>
  <c r="I120" i="21"/>
  <c r="K120" i="21" s="1"/>
  <c r="L120" i="21" s="1"/>
  <c r="N119" i="21"/>
  <c r="I119" i="21"/>
  <c r="K119" i="21" s="1"/>
  <c r="L119" i="21" s="1"/>
  <c r="N116" i="21"/>
  <c r="I116" i="21"/>
  <c r="K116" i="21" s="1"/>
  <c r="L116" i="21" s="1"/>
  <c r="N115" i="21"/>
  <c r="I115" i="21"/>
  <c r="K115" i="21" s="1"/>
  <c r="L115" i="21" s="1"/>
  <c r="N114" i="21"/>
  <c r="I114" i="21"/>
  <c r="K114" i="21" s="1"/>
  <c r="L114" i="21" s="1"/>
  <c r="I113" i="21"/>
  <c r="K113" i="21" s="1"/>
  <c r="L113" i="21" s="1"/>
  <c r="O113" i="21" s="1"/>
  <c r="N112" i="21"/>
  <c r="I112" i="21"/>
  <c r="K112" i="21" s="1"/>
  <c r="L112" i="21" s="1"/>
  <c r="N111" i="21"/>
  <c r="I111" i="21"/>
  <c r="K111" i="21" s="1"/>
  <c r="L111" i="21" s="1"/>
  <c r="N110" i="21"/>
  <c r="I110" i="21"/>
  <c r="K110" i="21" s="1"/>
  <c r="L110" i="21" s="1"/>
  <c r="N107" i="21"/>
  <c r="K107" i="21"/>
  <c r="L107" i="21" s="1"/>
  <c r="N106" i="21"/>
  <c r="I106" i="21"/>
  <c r="K106" i="21" s="1"/>
  <c r="L106" i="21" s="1"/>
  <c r="I105" i="21"/>
  <c r="K105" i="21" s="1"/>
  <c r="L105" i="21" s="1"/>
  <c r="O105" i="21" s="1"/>
  <c r="N104" i="21"/>
  <c r="K104" i="21"/>
  <c r="L104" i="21" s="1"/>
  <c r="I103" i="21"/>
  <c r="K103" i="21" s="1"/>
  <c r="L103" i="21" s="1"/>
  <c r="O103" i="21" s="1"/>
  <c r="N102" i="21"/>
  <c r="I102" i="21"/>
  <c r="K102" i="21" s="1"/>
  <c r="L102" i="21" s="1"/>
  <c r="N101" i="21"/>
  <c r="K101" i="21"/>
  <c r="L101" i="21" s="1"/>
  <c r="N100" i="21"/>
  <c r="K100" i="21"/>
  <c r="L100" i="21" s="1"/>
  <c r="N99" i="21"/>
  <c r="I99" i="21"/>
  <c r="K99" i="21" s="1"/>
  <c r="L99" i="21" s="1"/>
  <c r="N98" i="21"/>
  <c r="I98" i="21"/>
  <c r="K98" i="21" s="1"/>
  <c r="L98" i="21" s="1"/>
  <c r="N97" i="21"/>
  <c r="I97" i="21"/>
  <c r="K97" i="21" s="1"/>
  <c r="L97" i="21" s="1"/>
  <c r="N96" i="21"/>
  <c r="I96" i="21"/>
  <c r="K96" i="21" s="1"/>
  <c r="L96" i="21" s="1"/>
  <c r="N95" i="21"/>
  <c r="I95" i="21"/>
  <c r="K95" i="21" s="1"/>
  <c r="L95" i="21" s="1"/>
  <c r="N94" i="21"/>
  <c r="I94" i="21"/>
  <c r="K94" i="21" s="1"/>
  <c r="L94" i="21" s="1"/>
  <c r="N88" i="21"/>
  <c r="I88" i="21"/>
  <c r="K88" i="21" s="1"/>
  <c r="L88" i="21" s="1"/>
  <c r="N87" i="21"/>
  <c r="I87" i="21"/>
  <c r="K87" i="21" s="1"/>
  <c r="L87" i="21" s="1"/>
  <c r="O87" i="21" s="1"/>
  <c r="N86" i="21"/>
  <c r="I86" i="21"/>
  <c r="K86" i="21" s="1"/>
  <c r="L86" i="21" s="1"/>
  <c r="N85" i="21"/>
  <c r="I85" i="21"/>
  <c r="K85" i="21" s="1"/>
  <c r="L85" i="21" s="1"/>
  <c r="O85" i="21" s="1"/>
  <c r="N84" i="21"/>
  <c r="I84" i="21"/>
  <c r="K84" i="21" s="1"/>
  <c r="L84" i="21" s="1"/>
  <c r="N83" i="21"/>
  <c r="I83" i="21"/>
  <c r="K83" i="21" s="1"/>
  <c r="L83" i="21" s="1"/>
  <c r="O83" i="21" s="1"/>
  <c r="N82" i="21"/>
  <c r="I82" i="21"/>
  <c r="K82" i="21" s="1"/>
  <c r="L82" i="21" s="1"/>
  <c r="N81" i="21"/>
  <c r="I81" i="21"/>
  <c r="K81" i="21" s="1"/>
  <c r="L81" i="21" s="1"/>
  <c r="O81" i="21" s="1"/>
  <c r="N80" i="21"/>
  <c r="G80" i="21"/>
  <c r="I80" i="21" s="1"/>
  <c r="K80" i="21" s="1"/>
  <c r="L80" i="21" s="1"/>
  <c r="N79" i="21"/>
  <c r="I79" i="21"/>
  <c r="K79" i="21" s="1"/>
  <c r="L79" i="21" s="1"/>
  <c r="O79" i="21" s="1"/>
  <c r="N78" i="21"/>
  <c r="I78" i="21"/>
  <c r="K78" i="21" s="1"/>
  <c r="L78" i="21" s="1"/>
  <c r="N77" i="21"/>
  <c r="I77" i="21"/>
  <c r="K77" i="21" s="1"/>
  <c r="L77" i="21" s="1"/>
  <c r="O77" i="21" s="1"/>
  <c r="N76" i="21"/>
  <c r="I76" i="21"/>
  <c r="K76" i="21" s="1"/>
  <c r="L76" i="21" s="1"/>
  <c r="N75" i="21"/>
  <c r="I75" i="21"/>
  <c r="K75" i="21" s="1"/>
  <c r="L75" i="21" s="1"/>
  <c r="O75" i="21" s="1"/>
  <c r="N74" i="21"/>
  <c r="I74" i="21"/>
  <c r="K74" i="21" s="1"/>
  <c r="L74" i="21" s="1"/>
  <c r="N73" i="21"/>
  <c r="I73" i="21"/>
  <c r="K73" i="21" s="1"/>
  <c r="L73" i="21" s="1"/>
  <c r="N72" i="21"/>
  <c r="I72" i="21"/>
  <c r="K72" i="21" s="1"/>
  <c r="L72" i="21" s="1"/>
  <c r="N71" i="21"/>
  <c r="I71" i="21"/>
  <c r="K71" i="21" s="1"/>
  <c r="L71" i="21" s="1"/>
  <c r="N70" i="21"/>
  <c r="I70" i="21"/>
  <c r="K70" i="21" s="1"/>
  <c r="L70" i="21" s="1"/>
  <c r="N69" i="21"/>
  <c r="I69" i="21"/>
  <c r="K69" i="21" s="1"/>
  <c r="L69" i="21" s="1"/>
  <c r="N68" i="21"/>
  <c r="I68" i="21"/>
  <c r="K68" i="21" s="1"/>
  <c r="L68" i="21" s="1"/>
  <c r="N67" i="21"/>
  <c r="I67" i="21"/>
  <c r="K67" i="21" s="1"/>
  <c r="L67" i="21" s="1"/>
  <c r="O67" i="21" s="1"/>
  <c r="N66" i="21"/>
  <c r="I66" i="21"/>
  <c r="K66" i="21" s="1"/>
  <c r="L66" i="21" s="1"/>
  <c r="N65" i="21"/>
  <c r="G65" i="21"/>
  <c r="I65" i="21" s="1"/>
  <c r="K65" i="21" s="1"/>
  <c r="L65" i="21" s="1"/>
  <c r="O65" i="21" s="1"/>
  <c r="N61" i="21"/>
  <c r="I61" i="21"/>
  <c r="K61" i="21" s="1"/>
  <c r="L61" i="21" s="1"/>
  <c r="K27" i="21"/>
  <c r="L27" i="21"/>
  <c r="N27" i="21"/>
  <c r="O66" i="21" l="1"/>
  <c r="O76" i="21"/>
  <c r="O78" i="21"/>
  <c r="O80" i="21"/>
  <c r="O82" i="21"/>
  <c r="O106" i="21"/>
  <c r="O110" i="21"/>
  <c r="O112" i="21"/>
  <c r="O151" i="21"/>
  <c r="O211" i="21"/>
  <c r="O194" i="21"/>
  <c r="O196" i="21"/>
  <c r="O201" i="21"/>
  <c r="O153" i="21"/>
  <c r="O158" i="21"/>
  <c r="O114" i="21"/>
  <c r="O116" i="21"/>
  <c r="O120" i="21"/>
  <c r="O127" i="21"/>
  <c r="O94" i="21"/>
  <c r="O96" i="21"/>
  <c r="O98" i="21"/>
  <c r="O100" i="21"/>
  <c r="O104" i="21"/>
  <c r="O115" i="21"/>
  <c r="O119" i="21"/>
  <c r="O121" i="21"/>
  <c r="O126" i="21"/>
  <c r="O155" i="21"/>
  <c r="O164" i="21"/>
  <c r="O166" i="21"/>
  <c r="O168" i="21"/>
  <c r="O170" i="21"/>
  <c r="O172" i="21"/>
  <c r="O176" i="21"/>
  <c r="O178" i="21"/>
  <c r="O198" i="21"/>
  <c r="O203" i="21"/>
  <c r="O205" i="21"/>
  <c r="O208" i="21"/>
  <c r="O210" i="21"/>
  <c r="O131" i="21"/>
  <c r="O134" i="21"/>
  <c r="O150" i="21"/>
  <c r="O152" i="21"/>
  <c r="O157" i="21"/>
  <c r="O180" i="21"/>
  <c r="O182" i="21"/>
  <c r="O184" i="21"/>
  <c r="O186" i="21"/>
  <c r="O84" i="21"/>
  <c r="O124" i="21"/>
  <c r="O128" i="21"/>
  <c r="O160" i="21"/>
  <c r="O163" i="21"/>
  <c r="O165" i="21"/>
  <c r="O167" i="21"/>
  <c r="O171" i="21"/>
  <c r="O173" i="21"/>
  <c r="O175" i="21"/>
  <c r="O177" i="21"/>
  <c r="O188" i="21"/>
  <c r="O190" i="21"/>
  <c r="O193" i="21"/>
  <c r="O195" i="21"/>
  <c r="O206" i="21"/>
  <c r="O27" i="21"/>
  <c r="O86" i="21"/>
  <c r="O88" i="21"/>
  <c r="O95" i="21"/>
  <c r="O97" i="21"/>
  <c r="O107" i="21"/>
  <c r="O111" i="21"/>
  <c r="O154" i="21"/>
  <c r="O161" i="21"/>
  <c r="O162" i="21"/>
  <c r="O169" i="21"/>
  <c r="O174" i="21"/>
  <c r="O189" i="21"/>
  <c r="O200" i="21"/>
  <c r="O68" i="21"/>
  <c r="O70" i="21"/>
  <c r="O72" i="21"/>
  <c r="O74" i="21"/>
  <c r="O102" i="21"/>
  <c r="O99" i="21"/>
  <c r="O61" i="21"/>
  <c r="O69" i="21"/>
  <c r="O71" i="21"/>
  <c r="O73" i="21"/>
  <c r="O101" i="21"/>
  <c r="F92" i="21" l="1"/>
  <c r="F108" i="21"/>
  <c r="F63" i="21"/>
  <c r="I34" i="21" l="1"/>
  <c r="K34" i="21" s="1"/>
  <c r="L34" i="21" s="1"/>
  <c r="O34" i="21" s="1"/>
  <c r="G7" i="28" l="1"/>
  <c r="G6" i="28"/>
  <c r="G5" i="28"/>
  <c r="G4" i="28"/>
  <c r="G3" i="28"/>
  <c r="G2" i="28"/>
  <c r="G1" i="28"/>
  <c r="G8" i="28" l="1"/>
  <c r="N139" i="21" l="1"/>
  <c r="G25" i="25" l="1"/>
  <c r="F25" i="25"/>
  <c r="C7" i="26"/>
  <c r="C8" i="26"/>
  <c r="C9" i="26" l="1"/>
  <c r="N5" i="25" l="1"/>
  <c r="F218" i="21" l="1"/>
  <c r="N217" i="21" l="1"/>
  <c r="K217" i="21" l="1"/>
  <c r="L217" i="21" s="1"/>
  <c r="O217" i="21" s="1"/>
  <c r="N216" i="21"/>
  <c r="I216" i="21"/>
  <c r="K216" i="21" s="1"/>
  <c r="N215" i="21"/>
  <c r="I215" i="21"/>
  <c r="K215" i="21" s="1"/>
  <c r="N214" i="21"/>
  <c r="I214" i="21"/>
  <c r="K214" i="21" s="1"/>
  <c r="F212" i="21"/>
  <c r="L214" i="21" l="1"/>
  <c r="O214" i="21" s="1"/>
  <c r="N218" i="21"/>
  <c r="L216" i="21"/>
  <c r="O216" i="21" s="1"/>
  <c r="L215" i="21"/>
  <c r="O215" i="21" s="1"/>
  <c r="O218" i="21" l="1"/>
  <c r="L218" i="21"/>
  <c r="F191" i="21" l="1"/>
  <c r="N212" i="21" l="1"/>
  <c r="L212" i="21" l="1"/>
  <c r="O212" i="21" l="1"/>
  <c r="N191" i="21" l="1"/>
  <c r="F148" i="21"/>
  <c r="O147" i="21"/>
  <c r="L147" i="21"/>
  <c r="O146" i="21" l="1"/>
  <c r="L146" i="21"/>
  <c r="L148" i="21" s="1"/>
  <c r="O148" i="21" l="1"/>
  <c r="F144" i="21"/>
  <c r="N143" i="21" l="1"/>
  <c r="I143" i="21"/>
  <c r="K143" i="21" s="1"/>
  <c r="N142" i="21"/>
  <c r="I142" i="21"/>
  <c r="N141" i="21"/>
  <c r="I141" i="21"/>
  <c r="K141" i="21" s="1"/>
  <c r="N140" i="21"/>
  <c r="I140" i="21"/>
  <c r="K140" i="21" s="1"/>
  <c r="I139" i="21"/>
  <c r="I138" i="21"/>
  <c r="K138" i="21" s="1"/>
  <c r="L141" i="21" l="1"/>
  <c r="O141" i="21" s="1"/>
  <c r="L140" i="21"/>
  <c r="O140" i="21" s="1"/>
  <c r="N144" i="21"/>
  <c r="K139" i="21"/>
  <c r="L139" i="21" s="1"/>
  <c r="O139" i="21" s="1"/>
  <c r="K142" i="21"/>
  <c r="L142" i="21" s="1"/>
  <c r="O142" i="21" s="1"/>
  <c r="L143" i="21"/>
  <c r="O143" i="21" s="1"/>
  <c r="N136" i="21" l="1"/>
  <c r="F117" i="21"/>
  <c r="N117" i="21" l="1"/>
  <c r="L117" i="21" l="1"/>
  <c r="N108" i="21" l="1"/>
  <c r="O117" i="21"/>
  <c r="K108" i="21" l="1"/>
  <c r="N92" i="21" l="1"/>
  <c r="N62" i="21"/>
  <c r="I62" i="21"/>
  <c r="N60" i="21"/>
  <c r="I60" i="21"/>
  <c r="K60" i="21" s="1"/>
  <c r="N59" i="21"/>
  <c r="I59" i="21"/>
  <c r="K59" i="21" s="1"/>
  <c r="I58" i="21"/>
  <c r="K58" i="21" s="1"/>
  <c r="N57" i="21"/>
  <c r="I57" i="21"/>
  <c r="N56" i="21"/>
  <c r="G56" i="21"/>
  <c r="I56" i="21" s="1"/>
  <c r="K56" i="21" s="1"/>
  <c r="N55" i="21"/>
  <c r="I55" i="21"/>
  <c r="K55" i="21" s="1"/>
  <c r="N54" i="21"/>
  <c r="I54" i="21"/>
  <c r="I53" i="21"/>
  <c r="K53" i="21" s="1"/>
  <c r="N52" i="21"/>
  <c r="I52" i="21"/>
  <c r="K52" i="21" s="1"/>
  <c r="N51" i="21"/>
  <c r="I51" i="21"/>
  <c r="N50" i="21"/>
  <c r="I50" i="21"/>
  <c r="K50" i="21" s="1"/>
  <c r="N49" i="21"/>
  <c r="I49" i="21"/>
  <c r="K49" i="21" s="1"/>
  <c r="N48" i="21"/>
  <c r="I48" i="21"/>
  <c r="K48" i="21" s="1"/>
  <c r="N47" i="21"/>
  <c r="I47" i="21"/>
  <c r="N46" i="21"/>
  <c r="I46" i="21"/>
  <c r="K46" i="21" s="1"/>
  <c r="L50" i="21" l="1"/>
  <c r="O50" i="21" s="1"/>
  <c r="L60" i="21"/>
  <c r="O60" i="21" s="1"/>
  <c r="L46" i="21"/>
  <c r="O46" i="21" s="1"/>
  <c r="L49" i="21"/>
  <c r="O49" i="21" s="1"/>
  <c r="K57" i="21"/>
  <c r="L57" i="21" s="1"/>
  <c r="O57" i="21" s="1"/>
  <c r="K47" i="21"/>
  <c r="L47" i="21" s="1"/>
  <c r="O47" i="21" s="1"/>
  <c r="L48" i="21"/>
  <c r="O48" i="21" s="1"/>
  <c r="K51" i="21"/>
  <c r="L51" i="21" s="1"/>
  <c r="O51" i="21" s="1"/>
  <c r="L52" i="21"/>
  <c r="O52" i="21" s="1"/>
  <c r="K54" i="21"/>
  <c r="L55" i="21"/>
  <c r="O55" i="21" s="1"/>
  <c r="L56" i="21"/>
  <c r="O56" i="21" s="1"/>
  <c r="L59" i="21"/>
  <c r="O59" i="21" s="1"/>
  <c r="K62" i="21"/>
  <c r="L62" i="21" s="1"/>
  <c r="O62" i="21" s="1"/>
  <c r="N45" i="21"/>
  <c r="I45" i="21"/>
  <c r="F43" i="21"/>
  <c r="N42" i="21"/>
  <c r="I42" i="21"/>
  <c r="K42" i="21" s="1"/>
  <c r="N41" i="21"/>
  <c r="I41" i="21"/>
  <c r="K41" i="21" s="1"/>
  <c r="N40" i="21"/>
  <c r="G40" i="21"/>
  <c r="F38" i="21"/>
  <c r="N37" i="21"/>
  <c r="I37" i="21"/>
  <c r="N36" i="21"/>
  <c r="I36" i="21"/>
  <c r="K36" i="21" s="1"/>
  <c r="N35" i="21"/>
  <c r="I35" i="21"/>
  <c r="K35" i="21" s="1"/>
  <c r="N33" i="21"/>
  <c r="I33" i="21"/>
  <c r="K33" i="21" s="1"/>
  <c r="N32" i="21"/>
  <c r="I32" i="21"/>
  <c r="N31" i="21"/>
  <c r="I31" i="21"/>
  <c r="K31" i="21" s="1"/>
  <c r="N30" i="21"/>
  <c r="I30" i="21"/>
  <c r="K30" i="21" s="1"/>
  <c r="N29" i="21"/>
  <c r="I29" i="21"/>
  <c r="K29" i="21" s="1"/>
  <c r="L54" i="21" l="1"/>
  <c r="O54" i="21" s="1"/>
  <c r="L41" i="21"/>
  <c r="O41" i="21" s="1"/>
  <c r="L42" i="21"/>
  <c r="O42" i="21" s="1"/>
  <c r="L30" i="21"/>
  <c r="L31" i="21"/>
  <c r="O31" i="21" s="1"/>
  <c r="L35" i="21"/>
  <c r="O35" i="21" s="1"/>
  <c r="L36" i="21"/>
  <c r="O36" i="21" s="1"/>
  <c r="N43" i="21"/>
  <c r="N63" i="21"/>
  <c r="L29" i="21"/>
  <c r="O29" i="21" s="1"/>
  <c r="K32" i="21"/>
  <c r="L32" i="21" s="1"/>
  <c r="O32" i="21" s="1"/>
  <c r="L33" i="21"/>
  <c r="O33" i="21" s="1"/>
  <c r="K37" i="21"/>
  <c r="L37" i="21" s="1"/>
  <c r="O37" i="21" s="1"/>
  <c r="N28" i="21"/>
  <c r="O30" i="21" l="1"/>
  <c r="I28" i="21"/>
  <c r="K28" i="21" s="1"/>
  <c r="L28" i="21" s="1"/>
  <c r="O28" i="21" s="1"/>
  <c r="N26" i="21" l="1"/>
  <c r="I26" i="21"/>
  <c r="F24" i="21"/>
  <c r="G23" i="21"/>
  <c r="I23" i="21" s="1"/>
  <c r="G22" i="21"/>
  <c r="I22" i="21" s="1"/>
  <c r="N21" i="21"/>
  <c r="K21" i="21"/>
  <c r="G21" i="21"/>
  <c r="F19" i="21"/>
  <c r="N18" i="21"/>
  <c r="G18" i="21"/>
  <c r="I18" i="21" s="1"/>
  <c r="G17" i="21"/>
  <c r="I17" i="21" s="1"/>
  <c r="N16" i="21"/>
  <c r="G16" i="21"/>
  <c r="I16" i="21" s="1"/>
  <c r="K16" i="21" s="1"/>
  <c r="N15" i="21"/>
  <c r="G15" i="21"/>
  <c r="I15" i="21" s="1"/>
  <c r="K15" i="21" s="1"/>
  <c r="F219" i="21" l="1"/>
  <c r="L16" i="21"/>
  <c r="O16" i="21" s="1"/>
  <c r="L21" i="21"/>
  <c r="O21" i="21" s="1"/>
  <c r="N24" i="21"/>
  <c r="N38" i="21"/>
  <c r="L15" i="21"/>
  <c r="O15" i="21" s="1"/>
  <c r="N14" i="21"/>
  <c r="I14" i="21"/>
  <c r="K14" i="21" s="1"/>
  <c r="L14" i="21" l="1"/>
  <c r="O14" i="21" s="1"/>
  <c r="N13" i="21"/>
  <c r="I13" i="21"/>
  <c r="N12" i="21"/>
  <c r="I12" i="21"/>
  <c r="K12" i="21" s="1"/>
  <c r="N11" i="21"/>
  <c r="I11" i="21"/>
  <c r="K11" i="21" s="1"/>
  <c r="L11" i="21" l="1"/>
  <c r="O11" i="21" s="1"/>
  <c r="L12" i="21"/>
  <c r="O12" i="21" s="1"/>
  <c r="N10" i="21"/>
  <c r="I10" i="21"/>
  <c r="N19" i="21" l="1"/>
  <c r="N219" i="21" s="1"/>
  <c r="L138" i="21" l="1"/>
  <c r="O138" i="21" s="1"/>
  <c r="O144" i="21" s="1"/>
  <c r="K45" i="21"/>
  <c r="L45" i="21" s="1"/>
  <c r="L53" i="21"/>
  <c r="O53" i="21" s="1"/>
  <c r="L58" i="21"/>
  <c r="O58" i="21" s="1"/>
  <c r="I40" i="21"/>
  <c r="K40" i="21" s="1"/>
  <c r="K26" i="21"/>
  <c r="K38" i="21" s="1"/>
  <c r="K22" i="21"/>
  <c r="L22" i="21" s="1"/>
  <c r="K23" i="21"/>
  <c r="L23" i="21" s="1"/>
  <c r="O23" i="21" s="1"/>
  <c r="K10" i="21"/>
  <c r="K13" i="21"/>
  <c r="L13" i="21" s="1"/>
  <c r="O13" i="21" s="1"/>
  <c r="K17" i="21"/>
  <c r="K18" i="21"/>
  <c r="L18" i="21" s="1"/>
  <c r="O18" i="21" s="1"/>
  <c r="K63" i="21" l="1"/>
  <c r="O136" i="21"/>
  <c r="L17" i="21"/>
  <c r="O17" i="21" s="1"/>
  <c r="L108" i="21"/>
  <c r="O108" i="21"/>
  <c r="K136" i="21"/>
  <c r="L136" i="21"/>
  <c r="L191" i="21"/>
  <c r="K19" i="21"/>
  <c r="O22" i="21"/>
  <c r="L24" i="21"/>
  <c r="K92" i="21"/>
  <c r="L63" i="21"/>
  <c r="O45" i="21"/>
  <c r="L40" i="21"/>
  <c r="K43" i="21"/>
  <c r="L10" i="21"/>
  <c r="L26" i="21"/>
  <c r="L144" i="21"/>
  <c r="O92" i="21" l="1"/>
  <c r="O191" i="21"/>
  <c r="L92" i="21"/>
  <c r="O24" i="21"/>
  <c r="O10" i="21"/>
  <c r="L19" i="21"/>
  <c r="O63" i="21"/>
  <c r="O40" i="21"/>
  <c r="L43" i="21"/>
  <c r="O26" i="21"/>
  <c r="L38" i="21"/>
  <c r="O38" i="21" l="1"/>
  <c r="L219" i="21"/>
  <c r="O43" i="21"/>
  <c r="O19" i="21"/>
  <c r="O219" i="21" l="1"/>
</calcChain>
</file>

<file path=xl/sharedStrings.xml><?xml version="1.0" encoding="utf-8"?>
<sst xmlns="http://schemas.openxmlformats.org/spreadsheetml/2006/main" count="1510" uniqueCount="516">
  <si>
    <t>STT</t>
  </si>
  <si>
    <t>Họ và tên</t>
  </si>
  <si>
    <t>Địa chỉ</t>
  </si>
  <si>
    <t>Kinh doanh mặt hàng</t>
  </si>
  <si>
    <t>Số lô</t>
  </si>
  <si>
    <t>Giá dịch vụ sử dụng diện tích bán hàng</t>
  </si>
  <si>
    <t>Giá dịch vụ thu gom, vận chuyển rác thải</t>
  </si>
  <si>
    <t>Lưu Văn Dũng</t>
  </si>
  <si>
    <t>Phạm Thị Ngọc Quyên</t>
  </si>
  <si>
    <t>Nguyễn Mai Thị Bảo Yến</t>
  </si>
  <si>
    <t>Võ Thị Bích Ngân</t>
  </si>
  <si>
    <t>Cà phê</t>
  </si>
  <si>
    <t>Bún bánh</t>
  </si>
  <si>
    <t>Hàng quần áo</t>
  </si>
  <si>
    <t>Hàng Khô</t>
  </si>
  <si>
    <t>Tạp hóa</t>
  </si>
  <si>
    <t>Nguyễn Thị Lệ Xuân</t>
  </si>
  <si>
    <t>Dụng cụ gia đình</t>
  </si>
  <si>
    <t>Gội đầu</t>
  </si>
  <si>
    <t>Văn Thị Hồng</t>
  </si>
  <si>
    <t>Lê Thị Đoan Trinh</t>
  </si>
  <si>
    <t>Hàng Quần áo</t>
  </si>
  <si>
    <t>Nguyễn Thị Tuyết</t>
  </si>
  <si>
    <t>Võ Thị Hậu</t>
  </si>
  <si>
    <t>Lại Thị Kim Hồng</t>
  </si>
  <si>
    <t>Ghi chú</t>
  </si>
  <si>
    <t>Lê Thị Đức</t>
  </si>
  <si>
    <t>Trần Thị Đức</t>
  </si>
  <si>
    <t>Đỗ Thị An</t>
  </si>
  <si>
    <t>Trần Thị Thu</t>
  </si>
  <si>
    <t>Huỳnh Thị Nhì</t>
  </si>
  <si>
    <t>Võ Thị Ngọc Bích</t>
  </si>
  <si>
    <t>Nguyễn Thị Hồng</t>
  </si>
  <si>
    <t>Châu Thị Cúc</t>
  </si>
  <si>
    <t>Phan Thị Thanh Tuyền</t>
  </si>
  <si>
    <t>Huỳnh Thị Mỹ Lệ</t>
  </si>
  <si>
    <t>Lê Thị Bích Thủy</t>
  </si>
  <si>
    <t>Hàng Rau</t>
  </si>
  <si>
    <t>Hàng Mã</t>
  </si>
  <si>
    <t>Nguyễn Thị Xuyến</t>
  </si>
  <si>
    <t>Nguyễn Thị Lắm</t>
  </si>
  <si>
    <t>Võ Thị Nhung</t>
  </si>
  <si>
    <t>Lê Thị Bích Thuận</t>
  </si>
  <si>
    <t>Trần Thị Phượng</t>
  </si>
  <si>
    <t>Văn Thị Mỹ Hương</t>
  </si>
  <si>
    <t>Nguyễn Thị Kim Yến</t>
  </si>
  <si>
    <t>Nguyễn Thị Oanh</t>
  </si>
  <si>
    <t>Ngô Thị Ngọc Hoa</t>
  </si>
  <si>
    <t>Trần Thị Thanh Thúy</t>
  </si>
  <si>
    <t>Hàng ăn</t>
  </si>
  <si>
    <t>Võ Thị Hồng Nhung</t>
  </si>
  <si>
    <t>Tưởng Thị Tường Vân</t>
  </si>
  <si>
    <t>Nguyễn Thị Nhị</t>
  </si>
  <si>
    <t>Cá tươi</t>
  </si>
  <si>
    <t>Thịt xay</t>
  </si>
  <si>
    <t>Nguyễn Thị Tố Nhi</t>
  </si>
  <si>
    <t>Nguyễn Thị Chiên</t>
  </si>
  <si>
    <t>Đậu khuôn</t>
  </si>
  <si>
    <t>Cá hấp</t>
  </si>
  <si>
    <t>Quần áo</t>
  </si>
  <si>
    <t>Nguyễn Thị Thương</t>
  </si>
  <si>
    <t>Nguyễn Thị Như Ý</t>
  </si>
  <si>
    <t>Hàng thịt</t>
  </si>
  <si>
    <t>Bún</t>
  </si>
  <si>
    <t>Mai Thị Mỹ Hạnh</t>
  </si>
  <si>
    <t>Trái cây</t>
  </si>
  <si>
    <t>Nguyễn Thị Mai</t>
  </si>
  <si>
    <t>Huỳnh Thị Diệu Liên</t>
  </si>
  <si>
    <t>Lê Thị Hoa</t>
  </si>
  <si>
    <t>Đặng Thị Phụng</t>
  </si>
  <si>
    <t>Nguyễn Thị Ẩn</t>
  </si>
  <si>
    <t>Tạ Thị Vương</t>
  </si>
  <si>
    <t>Nguyễn Thị Minh Thy</t>
  </si>
  <si>
    <t>Ngô Thị Phượng</t>
  </si>
  <si>
    <t>Trần Thị Ngọc Trâm</t>
  </si>
  <si>
    <t>Hoàng Thị Trinh</t>
  </si>
  <si>
    <t>Trần Thị Tường Vân</t>
  </si>
  <si>
    <t>Nguyễn Thị Thu Liễu</t>
  </si>
  <si>
    <t>Hàng khô</t>
  </si>
  <si>
    <t>Nguyễn Thị Mừng</t>
  </si>
  <si>
    <t>Lê Thị Huệ</t>
  </si>
  <si>
    <t>Phan Thị Dân</t>
  </si>
  <si>
    <t>Trần Thị Tiên</t>
  </si>
  <si>
    <t>Phạm Thị Thanh</t>
  </si>
  <si>
    <t>Trần Thị Hằng</t>
  </si>
  <si>
    <t>Phạm Thị Thủy</t>
  </si>
  <si>
    <t>Nguyễn Thị Ngọc Huệ</t>
  </si>
  <si>
    <t>Phan Thị Chuyên</t>
  </si>
  <si>
    <t>Nguyễn Thị Ngọc Yến</t>
  </si>
  <si>
    <t>Nguyễn Thị Ngọc Hương</t>
  </si>
  <si>
    <t>Tổng cộng</t>
  </si>
  <si>
    <t>DCGĐình</t>
  </si>
  <si>
    <t>DC gia đình</t>
  </si>
  <si>
    <t>Phạm Thúy Ngọc Diệp</t>
  </si>
  <si>
    <t>Hợp đồng số</t>
  </si>
  <si>
    <t>1 Tháng</t>
  </si>
  <si>
    <t>Diện tích</t>
  </si>
  <si>
    <t>Dài (m)</t>
  </si>
  <si>
    <t>Rộng (m)</t>
  </si>
  <si>
    <t>Lập biểu</t>
  </si>
  <si>
    <t xml:space="preserve"> Gà vịt</t>
  </si>
  <si>
    <r>
      <t>đồng/m</t>
    </r>
    <r>
      <rPr>
        <b/>
        <vertAlign val="superscript"/>
        <sz val="10"/>
        <color theme="1"/>
        <rFont val="Times New Roman"/>
        <family val="1"/>
      </rPr>
      <t xml:space="preserve">2 </t>
    </r>
    <r>
      <rPr>
        <b/>
        <sz val="10"/>
        <color theme="1"/>
        <rFont val="Times New Roman"/>
        <family val="1"/>
      </rPr>
      <t>/tháng</t>
    </r>
  </si>
  <si>
    <t>ĐVT: đồng</t>
  </si>
  <si>
    <t>CỘNG HÒA XÃ HỘI CHỦ NGHĨA ViỆT NAM</t>
  </si>
  <si>
    <t>Độc lập - Tự do - Hạnh phúc</t>
  </si>
  <si>
    <t>653/5 Ngyễn Huệ, P Q. Thắng</t>
  </si>
  <si>
    <t>Thịt</t>
  </si>
  <si>
    <t>Đinh Thị Giáp PHương</t>
  </si>
  <si>
    <t>Đặng Thị Liên</t>
  </si>
  <si>
    <t>60 Sư Vạn Hạnh</t>
  </si>
  <si>
    <t>34 Lê Hữu Trác, P Thắng lợi</t>
  </si>
  <si>
    <t>50/2 Trương Quang Trọng, P. Q Thắng</t>
  </si>
  <si>
    <t>261 Phạm Văn Đồng, P. Lê Lợi</t>
  </si>
  <si>
    <t>205 Hàm Nghi, P. duy Tân</t>
  </si>
  <si>
    <t>122 Lê Quý Đôn, P Quang Trung</t>
  </si>
  <si>
    <t>Trương Thị Kim Thanh</t>
  </si>
  <si>
    <t>123 Hồ Tùng Mậu, P. Thắng lợi</t>
  </si>
  <si>
    <t>Làng nghề H'Nor, P. lê Lợi</t>
  </si>
  <si>
    <r>
      <t>(m</t>
    </r>
    <r>
      <rPr>
        <b/>
        <vertAlign val="super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>)</t>
    </r>
  </si>
  <si>
    <t>9=7*8</t>
  </si>
  <si>
    <t>11=9*10</t>
  </si>
  <si>
    <t>12=11*12 tháng</t>
  </si>
  <si>
    <t>14=13*12 tháng</t>
  </si>
  <si>
    <t>15=12+14</t>
  </si>
  <si>
    <t>Số tiền</t>
  </si>
  <si>
    <t>29 Cao Thắng, P. Thắng lợi</t>
  </si>
  <si>
    <t>Đinh Thị Giáp Phương</t>
  </si>
  <si>
    <t>138 Nguyễn Huệ,P. quyết Thắng</t>
  </si>
  <si>
    <t>62 Dương Đình Nghệ, P. Lê Lợi</t>
  </si>
  <si>
    <t>Phạm Thị Thu Hường</t>
  </si>
  <si>
    <t>288 Hai Bà Trưng, P. Quyết Thắng</t>
  </si>
  <si>
    <t>Phương Quý, Vinh Quang</t>
  </si>
  <si>
    <t>296 Thi Sách, P. Thắng lợi</t>
  </si>
  <si>
    <t>06 Bùi Thị Xuân, P. quyết Thắng</t>
  </si>
  <si>
    <t>32/5 Phù  Đổng, P. Quang Trung</t>
  </si>
  <si>
    <t>05 Bùi Thị Xuân, P. quyết Thắng</t>
  </si>
  <si>
    <t>Trương Thị Thu</t>
  </si>
  <si>
    <t>Văn Thị Thu Thủy</t>
  </si>
  <si>
    <t>Kon Rờ Bang 1</t>
  </si>
  <si>
    <t>90 Huỳnh Đăng Thơ</t>
  </si>
  <si>
    <t>Đặng Thị Hải Yến</t>
  </si>
  <si>
    <t>Phạm Thủy Tiên</t>
  </si>
  <si>
    <t>Phường Trường Chinh</t>
  </si>
  <si>
    <t>Đắk Cấm</t>
  </si>
  <si>
    <t>Trương Thị Tuyết</t>
  </si>
  <si>
    <t>306/55 Lạc Long Quân</t>
  </si>
  <si>
    <t>Nguyễn Trần Thọ</t>
  </si>
  <si>
    <t>Phương Quý 2</t>
  </si>
  <si>
    <t>39 Yết Kêu</t>
  </si>
  <si>
    <t>67 Kơ Pa kow Lơng</t>
  </si>
  <si>
    <t>75 NguyỄN Văn trỗi</t>
  </si>
  <si>
    <t>Hàng rau</t>
  </si>
  <si>
    <t>Thôn Kon Tu 2, P.Trường Chinh</t>
  </si>
  <si>
    <t>hàng thịt</t>
  </si>
  <si>
    <t>Lê Thị Mười</t>
  </si>
  <si>
    <t>Phương quý 2</t>
  </si>
  <si>
    <t>67 Kơ Pa Kơ Lơng</t>
  </si>
  <si>
    <t>65 Trương Quang Trọng</t>
  </si>
  <si>
    <t>Trần Hùng Vương</t>
  </si>
  <si>
    <t>Lê Thị Dần</t>
  </si>
  <si>
    <t>161 lạc Long Quân</t>
  </si>
  <si>
    <t>94  Kơ Pa Kơ Lơng</t>
  </si>
  <si>
    <t>Thôn 9 xã Đắk Cấm</t>
  </si>
  <si>
    <t>196 Phạm Văn Đồng, P Lê Lợi</t>
  </si>
  <si>
    <t>Nguyễn Thị Nhị Hà</t>
  </si>
  <si>
    <t>555/34 Nguyễn Huệ</t>
  </si>
  <si>
    <t>Nguyễn Thị Thanh Hoa</t>
  </si>
  <si>
    <t>424 Nguyễn Huệ</t>
  </si>
  <si>
    <t>53/10 Trần Hưng Đạo</t>
  </si>
  <si>
    <t>Quần áo (để chuối)</t>
  </si>
  <si>
    <t>07 Nguyễn Bỉnh Khiêm</t>
  </si>
  <si>
    <t>105 Nguyễn Huệ</t>
  </si>
  <si>
    <t>Tổ 1, phường Lê Lợi</t>
  </si>
  <si>
    <t>Gà vịt</t>
  </si>
  <si>
    <t>67 Lê Quý Đôn, P. Quang Trung</t>
  </si>
  <si>
    <t>Tổ 2, phường Lê Lợi</t>
  </si>
  <si>
    <t>235 Duy Tân</t>
  </si>
  <si>
    <t>654 Hùng Vương, P. Quang Trung</t>
  </si>
  <si>
    <t>272 Phan Chu Trinh</t>
  </si>
  <si>
    <t>90/4 Nguyễn Huệ</t>
  </si>
  <si>
    <t>112  Kơ Pa Kơ Lơng</t>
  </si>
  <si>
    <t>Trương Thị Hảo</t>
  </si>
  <si>
    <t>59 Trần Nhân Tông, P. Quang Trung</t>
  </si>
  <si>
    <t>553/31 TrẦN Nhân Tông, P. Quang Trung</t>
  </si>
  <si>
    <t>Trần Thị Thanh Thủy</t>
  </si>
  <si>
    <t>345 Hoàng Thị Loan</t>
  </si>
  <si>
    <t>176 Trường Chinh</t>
  </si>
  <si>
    <t>219/24b Trần Hưng Đạo</t>
  </si>
  <si>
    <t>93 Lê Lợi</t>
  </si>
  <si>
    <t>50 Ngô Quyền</t>
  </si>
  <si>
    <t>Lưu Thị Thuấn</t>
  </si>
  <si>
    <t>36/32 Ngô Quyền</t>
  </si>
  <si>
    <t>249/5 Trần Hưng Đạo, P. Thống Nhất</t>
  </si>
  <si>
    <t>121 Lê Lợi, P. Quyết Thắng</t>
  </si>
  <si>
    <t>76 Ngô Quyền, P. Thống Nhất</t>
  </si>
  <si>
    <t>04 Lý Thái Tổ, P. Thống Nhất</t>
  </si>
  <si>
    <t>51/2 cũ Phan Đình Phùng, P. Quyết Thắng</t>
  </si>
  <si>
    <t>Phường quý 1, Vinh Quang</t>
  </si>
  <si>
    <t>09 Hoàng Diệu, P. Thồng Nhất</t>
  </si>
  <si>
    <t>296 Sư Vạn Hạnh, P. Duy Tân</t>
  </si>
  <si>
    <t>05 NguyỄN Sinh Sắc, P. Quang Trung</t>
  </si>
  <si>
    <t>Trương Thị  Ngọc Liên</t>
  </si>
  <si>
    <t>Hoàng Thị Loan, P. quang Trung</t>
  </si>
  <si>
    <t>10/10 Tăng Bạch hổ</t>
  </si>
  <si>
    <t>643 Nguyễn Huệ, P. quyết Thắng</t>
  </si>
  <si>
    <t>09/16 Hai Bà Trưng, P. Quyết Thắng</t>
  </si>
  <si>
    <t>54 Thi Sách, P. Thắng lợi</t>
  </si>
  <si>
    <t>Thôn Kon Tu 2, P. Trường Chinh</t>
  </si>
  <si>
    <t>Trần Thị Kim Lan</t>
  </si>
  <si>
    <t>62 Nguyễn Trãi, P. thống Nhất</t>
  </si>
  <si>
    <t>189 Hai Bà Trưng, P Quyêt Thắng</t>
  </si>
  <si>
    <t>Thi Sách, P. Thắng lợi</t>
  </si>
  <si>
    <t>Hẻm 208 Lạc Long Quân</t>
  </si>
  <si>
    <t>73 Nguyễn trãi</t>
  </si>
  <si>
    <t>622 Hùng Vương</t>
  </si>
  <si>
    <t>17 Nguyễn Sinh sắc</t>
  </si>
  <si>
    <t>05 Trần Quốc Toản</t>
  </si>
  <si>
    <t>141 Phan Chu Trinh</t>
  </si>
  <si>
    <t>Tổ 3, phường Trần H Đạo</t>
  </si>
  <si>
    <t>Võ Thị Diệu</t>
  </si>
  <si>
    <t>Huỳnh Thị Hạnh</t>
  </si>
  <si>
    <t>299 Trần Nhân Tông</t>
  </si>
  <si>
    <t>27 Phan Bội Châu, P Quyết Thắng</t>
  </si>
  <si>
    <t>Thôn Kroong Klah xã Chưhreng</t>
  </si>
  <si>
    <t>04 Võ Văn Dũng, p Quang Trung</t>
  </si>
  <si>
    <t>97 Lê Lợi, P. Quyết Thắng</t>
  </si>
  <si>
    <t>101 Hồ Tùng Mậu</t>
  </si>
  <si>
    <t>331/1 Hùng Vương, P. Quang Trung</t>
  </si>
  <si>
    <t>64 Nguyễn Đình Chiểu, P. Quyết Thắng</t>
  </si>
  <si>
    <t>26/2 Trần Cao Vân</t>
  </si>
  <si>
    <t>141 Nguyễn Trường Tộ</t>
  </si>
  <si>
    <t>38 Hà Huy Tập</t>
  </si>
  <si>
    <t>42 Nguyễn Đình Chiểu</t>
  </si>
  <si>
    <t>Phạm Thị Hồ Hương</t>
  </si>
  <si>
    <t>35 Kơ Pa Kơ Lơng</t>
  </si>
  <si>
    <t>269 Phan Chu Trinh</t>
  </si>
  <si>
    <t>Nguyễn Thị Thắng</t>
  </si>
  <si>
    <t>83 Nguyễn Văn Trỗi</t>
  </si>
  <si>
    <t>Lê Thị Thu</t>
  </si>
  <si>
    <t>Hai Bà Trưng</t>
  </si>
  <si>
    <t>Mai Thị Như Thảo</t>
  </si>
  <si>
    <t>36/2 Trần Hưng Đạo</t>
  </si>
  <si>
    <t>Tạ Thị Long</t>
  </si>
  <si>
    <t>Nguyễn Văn Phú</t>
  </si>
  <si>
    <t>Võ Thị Thảo</t>
  </si>
  <si>
    <t>Phạm Thị Ngọc Ly</t>
  </si>
  <si>
    <t>Nguyễn Thị Kiều Ty</t>
  </si>
  <si>
    <t>Đặng Thị Lương</t>
  </si>
  <si>
    <t>Gà</t>
  </si>
  <si>
    <t>136 Nguyễn Thiện Thuật</t>
  </si>
  <si>
    <t>18  kơ pa kơlơng</t>
  </si>
  <si>
    <t>07 Trương Đăng Quế</t>
  </si>
  <si>
    <t>Phường Quang Trung</t>
  </si>
  <si>
    <t>Phường Duy Tân</t>
  </si>
  <si>
    <t>Nguyễn Thị Hóa</t>
  </si>
  <si>
    <t>hàng rau</t>
  </si>
  <si>
    <t>Hàng thịt bò</t>
  </si>
  <si>
    <t>Nguyễn Thị Nhiệm</t>
  </si>
  <si>
    <t>Xã Đoàn Kết</t>
  </si>
  <si>
    <t>Võ Thị Liên</t>
  </si>
  <si>
    <t>Phương Quý</t>
  </si>
  <si>
    <t>Khu vực bốc thăm từ chợ đêm vào diện tích mỗi sạp 3m2</t>
  </si>
  <si>
    <t>140 Hà Huy Tập</t>
  </si>
  <si>
    <t>Hẻm 72 Huỳnh Đăng Thơ</t>
  </si>
  <si>
    <t>160/16 Trần Hưng Đạo</t>
  </si>
  <si>
    <t>Đã đóng</t>
  </si>
  <si>
    <t>sạp</t>
  </si>
  <si>
    <t>Phan Thị Hiệp</t>
  </si>
  <si>
    <t>49 Hà Huy Tập</t>
  </si>
  <si>
    <t>Thôn 5 xã Đoàn Kết</t>
  </si>
  <si>
    <t>Huỳnh Thị Thanh Thủy</t>
  </si>
  <si>
    <t>49 Nguyễn văn Trỗi</t>
  </si>
  <si>
    <t>98/10 Hàm Nghi</t>
  </si>
  <si>
    <t>600 Phan Đình Phùng</t>
  </si>
  <si>
    <t>09 Tăng Bạc Hổ</t>
  </si>
  <si>
    <t>Hồ Chí Cường</t>
  </si>
  <si>
    <t>Giữ xe</t>
  </si>
  <si>
    <t>Không có mái che  khu vực hàng ăn, hàng rau</t>
  </si>
  <si>
    <t>Vệ sinh</t>
  </si>
  <si>
    <t>03 Lý Thường Kiệt</t>
  </si>
  <si>
    <t>Bùi Thị Định</t>
  </si>
  <si>
    <t>Báng gói</t>
  </si>
  <si>
    <t>Hồ Thị Hạnh</t>
  </si>
  <si>
    <t>Khổng Thị Kiều My</t>
  </si>
  <si>
    <t>502 Phan Đình Phùng</t>
  </si>
  <si>
    <t>Thân Thị Thanh Thúy</t>
  </si>
  <si>
    <t>23A Hai Bà Trưng</t>
  </si>
  <si>
    <t>Lê Ngọc Bích Loan</t>
  </si>
  <si>
    <t>34 Phan Huy Chú</t>
  </si>
  <si>
    <t>ĐDGĐ</t>
  </si>
  <si>
    <t>594 Nguyễn Huệ</t>
  </si>
  <si>
    <t>Nguyễn Thị Mến</t>
  </si>
  <si>
    <t>01 Lê Hoàn</t>
  </si>
  <si>
    <t>Huỳnh Thị Kỷ Tỵ</t>
  </si>
  <si>
    <t>Hoàng Thị Hà</t>
  </si>
  <si>
    <t>Trương Thảo Linh</t>
  </si>
  <si>
    <t>Lê Ngọc Quỳnh Thu</t>
  </si>
  <si>
    <t>619 Nguyễn Huệ</t>
  </si>
  <si>
    <t>Nguyễn Thị Hiếu</t>
  </si>
  <si>
    <t>117 Nơ Trang Long</t>
  </si>
  <si>
    <t>Bùi Thị Ngọc Hoa</t>
  </si>
  <si>
    <t>Bùi Thị Hồng</t>
  </si>
  <si>
    <t>64 Nguyễn Trãi, phường Thống Nhất</t>
  </si>
  <si>
    <t>Các gian hàng đường Bùi Thị Xuân. Kinh doanh tạp hóa, dụng cụ gia đình, hàng khô (1.8*2.1=3.78m2; 105.000đ/m2/tháng)</t>
  </si>
  <si>
    <t>Tổng</t>
  </si>
  <si>
    <t>Các gian hàng mặt trong đường Bùi Thị Xuân Kinh doanh tạp hóa, gội đầu, dụng cụ gia đình, hàng khô (2*2=4m2; 85.000đ/m2/tháng)</t>
  </si>
  <si>
    <t>Các gian hàng kinh doanh tạp hóa, dụng cụ gia đình, hàng khô mặt trong đường Ngô Quyền (2*2=4m2; 85.000đ/m2/tháng)</t>
  </si>
  <si>
    <t>Nhà lồng 3*1 các gian hàng ( Ki ốt). Kinh doanh Hàng gà vịt (2.16*2=4.32m2; 85.000đ/m2/tháng)</t>
  </si>
  <si>
    <t>Mặt bằng Nhà lồng 2.2 Bố trí mặt Hàng Rau (1,5*2=3m2; 68.000đ/m2/tháng)</t>
  </si>
  <si>
    <t>Các gian hàng Nhà lồng 2. Bố trí mặt hàng Ăn (1,5*2=3m2; 68.000đ/m2/tháng)</t>
  </si>
  <si>
    <t xml:space="preserve"> Nhà lồng 3. Bố trí kinh doanh mặt hàng Cá tươi (2*2=4m2; 68.000đ/m2/tháng)</t>
  </si>
  <si>
    <t>Mặt hàng kinh doanh hàng Tạp hóa, bún, bánh, cá hấp. Không có mái che ( khu vực hàng rau) (2*1,5m2=3m2; 50.000đ/m2/tháng)</t>
  </si>
  <si>
    <t>Mặt hàng kinh doanh hàng Tạp hóa, bún, bánh, cá hấp. Không có mái che ( khu vực Nhà lồng 1) (2*1.9=3.8m2; 50.000đ/m2/tháng)</t>
  </si>
  <si>
    <t>Mặt hàng kinh doanh hàng Tạp hóa, bún, bánh, cá hấp. Không có mái che ( khu vực hàng ăn) (2*1.5=3m2; 50.000đ/m2/tháng)</t>
  </si>
  <si>
    <t>Mặt bằng Nhà lồng 1 Mặt hàng Quần áo, thịt… (2*2=4m2; 68.000đ/m2/tháng)</t>
  </si>
  <si>
    <t>Khu vực bố trí hàng thịt đường Hoàng Hoa Thám diện tích mỗi sạp (1.5*2=3m2; 68.000đ/m2/tháng)</t>
  </si>
  <si>
    <t>Trần Thị Lan (Ngô Thị Thảo)</t>
  </si>
  <si>
    <t>Mai Thị Hiệp</t>
  </si>
  <si>
    <t>Vinh Quang</t>
  </si>
  <si>
    <t>Nguyễn Thị Thu Bé</t>
  </si>
  <si>
    <t>19 Hàm Nghi</t>
  </si>
  <si>
    <t>Nguyễn Thị Hạnh</t>
  </si>
  <si>
    <t>Lê Hoàng Thùy Linh</t>
  </si>
  <si>
    <t>Nguyễn Thị Tá</t>
  </si>
  <si>
    <t>Võ Thị Hà</t>
  </si>
  <si>
    <t>Lê Thị Bé Nhung</t>
  </si>
  <si>
    <t>960/6 Phan Đình Phùng, P Quyết Thắng</t>
  </si>
  <si>
    <t>Huỳnh Thị Mỹ Kiều</t>
  </si>
  <si>
    <t>Nguyễn Thị Thìn</t>
  </si>
  <si>
    <t>08 Trương Đăng Quế</t>
  </si>
  <si>
    <t>Cá tưoi</t>
  </si>
  <si>
    <t>Thôn Phương Quý 2, xã Vinh Quang</t>
  </si>
  <si>
    <t>Thôn Phương quý, xã Vinh Quang</t>
  </si>
  <si>
    <t>148 Trần Nhân Tông, P. Trường Chinh</t>
  </si>
  <si>
    <t>60/4 Phùng Hưng</t>
  </si>
  <si>
    <t>88 Trần Văn Ơn</t>
  </si>
  <si>
    <t>55/1 Trần Cao Vân</t>
  </si>
  <si>
    <t>Mặt hàng</t>
  </si>
  <si>
    <t>Họ tên</t>
  </si>
  <si>
    <t>Stt</t>
  </si>
  <si>
    <t>Nguyễn Thị Lân</t>
  </si>
  <si>
    <t>Nguyễn Tường Trinh</t>
  </si>
  <si>
    <t>Nguyễn Thị Lựu (Phụng)</t>
  </si>
  <si>
    <t>03/2 Phùng Hưng</t>
  </si>
  <si>
    <t>27 Ngô quyền</t>
  </si>
  <si>
    <t>Bùi Thị Hậu</t>
  </si>
  <si>
    <t>117 Bà Triệu</t>
  </si>
  <si>
    <t>Bánh</t>
  </si>
  <si>
    <t>Thôn Pleirơhai 2, P. Lê Lợi</t>
  </si>
  <si>
    <t>Trần Thị Huệ</t>
  </si>
  <si>
    <t>2/001</t>
  </si>
  <si>
    <t>Nguyễn Thị Thiên Phúc</t>
  </si>
  <si>
    <t>64 Lý Thường Kiệt, 
P. Quyết thắng</t>
  </si>
  <si>
    <t>Nguyễn Thị Thanh Hương</t>
  </si>
  <si>
    <t>Đặng Thị Phương Hiếu</t>
  </si>
  <si>
    <t>Người giao</t>
  </si>
  <si>
    <t>Người nhận</t>
  </si>
  <si>
    <t>Nguyễn Thị Kim Hải</t>
  </si>
  <si>
    <t>(Ngày ..../...../2022)</t>
  </si>
  <si>
    <t>BÀN GIAO THU TIỀN GÓP CHỢ QUYẾT THẮNG</t>
  </si>
  <si>
    <t>Đã giao đủ</t>
  </si>
  <si>
    <t>Trần Thị Thúy Kiều</t>
  </si>
  <si>
    <t>Thôn 4, xã Đăk Cấm</t>
  </si>
  <si>
    <t>12 tháng</t>
  </si>
  <si>
    <t>Tổng số tiền phải thu</t>
  </si>
  <si>
    <t>Lương Thị Như Ý</t>
  </si>
  <si>
    <t>NỘI DUNG THU</t>
  </si>
  <si>
    <t>SỐ TIỀN BÀN GIAO (đồng)</t>
  </si>
  <si>
    <t>Tiền thu chợ đã xuất HĐ</t>
  </si>
  <si>
    <t>Thu góp chợ đến ngày 01/7</t>
  </si>
  <si>
    <t>Phí cho thuê Công viên Giọt nước</t>
  </si>
  <si>
    <t>Quỹ Phòng, chống thiên tai</t>
  </si>
  <si>
    <t>Truy thu tiền của Tổ 6</t>
  </si>
  <si>
    <t>TỔNG CỘNG</t>
  </si>
  <si>
    <t>Đã giao ngày 27/6/2022</t>
  </si>
  <si>
    <t>Đã giao 04/7/2022</t>
  </si>
  <si>
    <t>nguyễn Thị ân</t>
  </si>
  <si>
    <t>Nguyễn Thị Hân</t>
  </si>
  <si>
    <t>C23TYY</t>
  </si>
  <si>
    <t>Chả</t>
  </si>
  <si>
    <t>Năm 2023</t>
  </si>
  <si>
    <t>Lý Thị Hương</t>
  </si>
  <si>
    <t>Trương Thị Lệ Hằng</t>
  </si>
  <si>
    <t>góp 1/2</t>
  </si>
  <si>
    <t>Nguyễn Hữu Trí</t>
  </si>
  <si>
    <t>85 Âu Cơ, P. Quang Trung</t>
  </si>
  <si>
    <t> 0000228</t>
  </si>
  <si>
    <t> 0000229</t>
  </si>
  <si>
    <t> 0000230</t>
  </si>
  <si>
    <t> 0000231</t>
  </si>
  <si>
    <t> 0000233</t>
  </si>
  <si>
    <t> 0000234</t>
  </si>
  <si>
    <t> 0000235</t>
  </si>
  <si>
    <t>Nguyễn Thị Bích Hiệp</t>
  </si>
  <si>
    <t>195 Nguyễn Văn Linh</t>
  </si>
  <si>
    <t>Võ Thị Dúc</t>
  </si>
  <si>
    <t>Đoàn Thị Mỹ Lệ</t>
  </si>
  <si>
    <t>246 Hai Bà Trưng</t>
  </si>
  <si>
    <t>Trần Thị Kim Chi</t>
  </si>
  <si>
    <t>Thôn Kon Rờ Bàng, xã Vinh Quang</t>
  </si>
  <si>
    <t>Nguyễn Thị Thanh Lý</t>
  </si>
  <si>
    <t>Thôn 1, xã Đăk La, huyện Đăk Hà</t>
  </si>
  <si>
    <t>Trần Thị Sắt</t>
  </si>
  <si>
    <t>UBND P. KON TUM</t>
  </si>
  <si>
    <t>CHỢ QUYẾT THẮNG</t>
  </si>
  <si>
    <t>Lê Thị Sương</t>
  </si>
  <si>
    <t>Nguyễn Thị Hiền</t>
  </si>
  <si>
    <t>Nguyên Khánh Phương</t>
  </si>
  <si>
    <t>Trần Thị Ái Vy</t>
  </si>
  <si>
    <t>Nguyễn Thị Duyên</t>
  </si>
  <si>
    <t>Thôn 4, xã ChưHreng</t>
  </si>
  <si>
    <t>Hà Thị Minh Hiền</t>
  </si>
  <si>
    <t>Tổ 1, Phường Trần Hưng Đạo, TP Kon Tum</t>
  </si>
  <si>
    <t>Đào Thị Thúy Kiều</t>
  </si>
  <si>
    <t>Quyết Thắng, TP Kon Tum</t>
  </si>
  <si>
    <t>Hồ Thị Vẫn</t>
  </si>
  <si>
    <t>Xã Đoàn Kết, thành phố Kon Tum</t>
  </si>
  <si>
    <t>Trần Thị Hồng Viên</t>
  </si>
  <si>
    <t>Trịnh Thị Hồng Nga</t>
  </si>
  <si>
    <t>Lê Thị Bình</t>
  </si>
  <si>
    <t>P.Quang Trung</t>
  </si>
  <si>
    <t>Hồ Thị Hường</t>
  </si>
  <si>
    <t>Trần Thị Lan</t>
  </si>
  <si>
    <t>Trần Thị Thúy Oanh</t>
  </si>
  <si>
    <t>DANH SÁCH TỔNG HỢP THEO DÕI CÁC HỘ KINH DOANH 
 SỬ DỤNG DỊCH VỤ CHỢ QUYẾT THẮNG NĂM 2026</t>
  </si>
  <si>
    <t>Nguyễn Thi Anh Đào (Nguyễn Thị Kim Liễu)</t>
  </si>
  <si>
    <t>Bùi Thị Kiều Trang (Nguyễn Thị Kim Liễu)</t>
  </si>
  <si>
    <t>583 Hùng Vương</t>
  </si>
  <si>
    <t xml:space="preserve">Huỳnh Thị Kim Suyến </t>
  </si>
  <si>
    <t>Phạm Thành Hiệp</t>
  </si>
  <si>
    <t>Nguyễn Bá Hoàng Nam</t>
  </si>
  <si>
    <t>Nguyễn Văn Phú (Nguyễn Hoàng Kim Uyên)</t>
  </si>
  <si>
    <t>Nguyễn Thống Nhất (Nguyễn Thị Phận)</t>
  </si>
  <si>
    <t>Võ Thị Yến Ly
(Võ Thị Tuyết Hạnh)</t>
  </si>
  <si>
    <t>Tổ 2 Quyết Thắng</t>
  </si>
  <si>
    <t>Trần Thị Miền</t>
  </si>
  <si>
    <t>Phann Thị Mỹ Kim
(Nguyễn Thị Điểm)</t>
  </si>
  <si>
    <t>50 Phan Chu Trinh</t>
  </si>
  <si>
    <t>TT</t>
  </si>
  <si>
    <t>01</t>
  </si>
  <si>
    <t>02</t>
  </si>
  <si>
    <t>04</t>
  </si>
  <si>
    <t>05</t>
  </si>
  <si>
    <t>06</t>
  </si>
  <si>
    <t>07</t>
  </si>
  <si>
    <t>08</t>
  </si>
  <si>
    <t>09</t>
  </si>
  <si>
    <t>03</t>
  </si>
  <si>
    <t>Nguyễn Thị Quỳnh Như</t>
  </si>
  <si>
    <t>72 Dương Đình Nghệ</t>
  </si>
  <si>
    <t>Hồ Thị Thanh Nga</t>
  </si>
  <si>
    <t>Hồ thị Thanh Nga
(Lê Thi Mỹ Phượng)</t>
  </si>
  <si>
    <t>Trần Thị Lệ Thương</t>
  </si>
  <si>
    <t>33 Lý Thái Tổ</t>
  </si>
  <si>
    <t>Phạm Thị Kim Hoa</t>
  </si>
  <si>
    <t>372 Trần Khánh Dư</t>
  </si>
  <si>
    <t>nghỉ</t>
  </si>
  <si>
    <t>Bùi Đình Phương</t>
  </si>
  <si>
    <t>Nguyễn Thị Mỹ</t>
  </si>
  <si>
    <t>Số Hợp đồng</t>
  </si>
  <si>
    <t>HÓA ĐƠN ĐIỆN TỬ</t>
  </si>
  <si>
    <t>Số tiền trên HĐ</t>
  </si>
  <si>
    <t>Ký hiệu HĐ</t>
  </si>
  <si>
    <t>Số HĐ</t>
  </si>
  <si>
    <t>Ngày HĐ</t>
  </si>
  <si>
    <t>2/001
C25TYY</t>
  </si>
  <si>
    <t>00000001</t>
  </si>
  <si>
    <t>PHÒNG KT, HT VÀ ĐÔ THỊ</t>
  </si>
  <si>
    <t>CHỢ HẠNG 3 PHƯỜNG KON TUM</t>
  </si>
  <si>
    <t>BẢNG KÊ HÓA ĐƠN TIỀN CHO THUÊ MẶT BẰNG
 SỬ DỤNG DỊCH VỤ BÁN HÀNG TẠI CHỢ PHƯỜNG QUYẾT THẮNG NĂM 2026</t>
  </si>
  <si>
    <t>Ngày nộp</t>
  </si>
  <si>
    <t>25/2/2026</t>
  </si>
  <si>
    <t>Hàng cá</t>
  </si>
  <si>
    <t>21/3/2026</t>
  </si>
  <si>
    <t>Hàng gà</t>
  </si>
  <si>
    <t>25/3/2026</t>
  </si>
  <si>
    <t>Tống Duy Hiến</t>
  </si>
  <si>
    <t>vệ sinh</t>
  </si>
  <si>
    <t>994/9 Phan Đình Phùng</t>
  </si>
  <si>
    <t>96 Trần Văn Hai, p. Kon Tum</t>
  </si>
  <si>
    <t>Trần Thị Hương Thảo
(Trần Thị Lan)</t>
  </si>
  <si>
    <t>Khổng Văn Vũ</t>
  </si>
  <si>
    <t>Phương Quý 2, Vinh Quang, Kon Tum,</t>
  </si>
  <si>
    <t>thịt</t>
  </si>
  <si>
    <t>mới</t>
  </si>
  <si>
    <t>Mai Thị Xuân Lan
(Mai Thị Như Thảo)</t>
  </si>
  <si>
    <t>Tống Thị Minh Huyền</t>
  </si>
  <si>
    <t>Ngày 31/3/2026</t>
  </si>
  <si>
    <t>Ngày 29/4/2026</t>
  </si>
  <si>
    <t>02/4/2026</t>
  </si>
  <si>
    <t>04/4/2026</t>
  </si>
  <si>
    <t>Trịnh Hồng Ngà</t>
  </si>
  <si>
    <t>06/4/2026</t>
  </si>
  <si>
    <t>07/4/2026</t>
  </si>
  <si>
    <t>Huỳnh Thị Thanh Thuỷ</t>
  </si>
  <si>
    <t>09/4/2026</t>
  </si>
  <si>
    <t>Nguyễn Thị Lựu</t>
  </si>
  <si>
    <t>tạp hoá</t>
  </si>
  <si>
    <t>hàng cá (2 lô)</t>
  </si>
  <si>
    <t>hàng khô</t>
  </si>
  <si>
    <t>hàng ăn</t>
  </si>
  <si>
    <t>Tạp hoá</t>
  </si>
  <si>
    <t>553/31 Trần Nhân Tông, P. Quang Trung</t>
  </si>
  <si>
    <t xml:space="preserve"> </t>
  </si>
  <si>
    <t>Ngày 29/5/2026</t>
  </si>
  <si>
    <t>30/4/2026</t>
  </si>
  <si>
    <t>03/5/2026</t>
  </si>
  <si>
    <t>06/5/2026</t>
  </si>
  <si>
    <t>08/5/2026</t>
  </si>
  <si>
    <t>Võ Thị Yến Ly</t>
  </si>
  <si>
    <t>Đào Thị Thuý Kiều</t>
  </si>
  <si>
    <t>Khô</t>
  </si>
  <si>
    <t>25/5/2026</t>
  </si>
  <si>
    <t>Ăn</t>
  </si>
  <si>
    <t>Phan Thị Xuân Linh
(Võ Thị Hồng Nhung)</t>
  </si>
  <si>
    <t>Trần Thị Ngọc Thu
(Trần Thị Thanh Thúy)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</si>
</sst>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₫_-;\-* #,##0.00\ _₫_-;_-* &quot;-&quot;??\ _₫_-;_-@_-"/>
    <numFmt numFmtId="165" formatCode="0.0"/>
    <numFmt numFmtId="166" formatCode="_-* #,##0\ _₫_-;\-* #,##0\ _₫_-;_-* &quot;-&quot;??\ _₫_-;_-@_-"/>
    <numFmt numFmtId="167" formatCode="#,##0.0"/>
  </numFmts>
  <fonts count="41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color theme="1"/>
      <name val="Times New Roman"/>
      <family val="1"/>
    </font>
    <font>
      <i/>
      <sz val="14"/>
      <color theme="1"/>
      <name val="Times New Roman"/>
      <family val="1"/>
    </font>
    <font>
      <sz val="9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sz val="11"/>
      <color rgb="FFFF0000"/>
      <name val="Times New Roman"/>
      <family val="1"/>
    </font>
    <font>
      <b/>
      <sz val="7"/>
      <color theme="1"/>
      <name val="Times New Roman"/>
      <family val="1"/>
    </font>
    <font>
      <sz val="11"/>
      <color rgb="FF00B0F0"/>
      <name val="Times New Roman"/>
      <family val="1"/>
    </font>
    <font>
      <b/>
      <sz val="9"/>
      <color theme="1"/>
      <name val="Times New Roman"/>
      <family val="1"/>
    </font>
    <font>
      <sz val="14"/>
      <color theme="0"/>
      <name val="Times New Roman"/>
      <family val="1"/>
    </font>
    <font>
      <sz val="11"/>
      <color rgb="FF002060"/>
      <name val="Times New Roman"/>
      <family val="1"/>
    </font>
    <font>
      <sz val="7"/>
      <color theme="1"/>
      <name val="Times New Roman"/>
      <family val="1"/>
    </font>
    <font>
      <sz val="6"/>
      <color theme="1"/>
      <name val="Times New Roman"/>
      <family val="1"/>
    </font>
    <font>
      <sz val="11"/>
      <color rgb="FF7030A0"/>
      <name val="Times New Roman"/>
      <family val="1"/>
    </font>
    <font>
      <b/>
      <sz val="10"/>
      <color theme="0"/>
      <name val="Times New Roman"/>
      <family val="1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sz val="11"/>
      <color theme="1" tint="0.14999847407452621"/>
      <name val="Times New Roman"/>
      <family val="1"/>
    </font>
    <font>
      <sz val="10"/>
      <color theme="1" tint="0.14999847407452621"/>
      <name val="Times New Roman"/>
      <family val="1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3"/>
      <name val="Times New Roman"/>
      <family val="1"/>
    </font>
    <font>
      <b/>
      <sz val="11"/>
      <color theme="1" tint="0.14999847407452621"/>
      <name val="Times New Roman"/>
      <family val="1"/>
    </font>
    <font>
      <sz val="13"/>
      <color rgb="FF000000"/>
      <name val="Times New Roman"/>
      <family val="1"/>
    </font>
    <font>
      <b/>
      <sz val="13"/>
      <color rgb="FF000000"/>
      <name val="Times New Roman"/>
      <family val="1"/>
    </font>
    <font>
      <sz val="10"/>
      <color rgb="FFFF0000"/>
      <name val="Times New Roman"/>
      <family val="1"/>
    </font>
    <font>
      <sz val="9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1"/>
      <color theme="2" tint="-0.89999084444715716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164" fontId="28" fillId="0" borderId="0" applyFont="0" applyFill="0" applyBorder="0" applyAlignment="0" applyProtection="0"/>
    <xf numFmtId="0" fontId="28" fillId="0" borderId="0"/>
  </cellStyleXfs>
  <cellXfs count="29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10" fillId="0" borderId="8" xfId="0" applyFont="1" applyBorder="1"/>
    <xf numFmtId="0" fontId="12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8" xfId="0" applyFont="1" applyBorder="1" applyAlignment="1">
      <alignment horizontal="center"/>
    </xf>
    <xf numFmtId="0" fontId="9" fillId="0" borderId="8" xfId="0" applyFont="1" applyBorder="1"/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165" fontId="8" fillId="0" borderId="8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3" fontId="8" fillId="0" borderId="8" xfId="0" applyNumberFormat="1" applyFont="1" applyBorder="1" applyAlignment="1">
      <alignment horizontal="right" vertical="center" wrapText="1"/>
    </xf>
    <xf numFmtId="3" fontId="9" fillId="0" borderId="8" xfId="0" applyNumberFormat="1" applyFont="1" applyBorder="1" applyAlignment="1">
      <alignment horizontal="right" vertical="center" wrapText="1"/>
    </xf>
    <xf numFmtId="3" fontId="8" fillId="0" borderId="0" xfId="0" applyNumberFormat="1" applyFont="1"/>
    <xf numFmtId="0" fontId="14" fillId="0" borderId="0" xfId="0" applyFont="1" applyAlignment="1">
      <alignment horizontal="center" vertical="center" wrapText="1"/>
    </xf>
    <xf numFmtId="3" fontId="1" fillId="0" borderId="0" xfId="0" applyNumberFormat="1" applyFont="1"/>
    <xf numFmtId="3" fontId="6" fillId="0" borderId="0" xfId="0" applyNumberFormat="1" applyFont="1"/>
    <xf numFmtId="0" fontId="16" fillId="0" borderId="0" xfId="0" applyFont="1" applyAlignment="1">
      <alignment horizontal="center" vertical="center" wrapText="1"/>
    </xf>
    <xf numFmtId="3" fontId="4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6" fillId="0" borderId="8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vertical="center" wrapText="1"/>
    </xf>
    <xf numFmtId="3" fontId="7" fillId="0" borderId="8" xfId="0" applyNumberFormat="1" applyFont="1" applyBorder="1" applyAlignment="1">
      <alignment horizontal="center"/>
    </xf>
    <xf numFmtId="3" fontId="8" fillId="0" borderId="8" xfId="0" applyNumberFormat="1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center"/>
    </xf>
    <xf numFmtId="3" fontId="7" fillId="0" borderId="8" xfId="0" applyNumberFormat="1" applyFont="1" applyBorder="1"/>
    <xf numFmtId="2" fontId="7" fillId="0" borderId="0" xfId="0" applyNumberFormat="1" applyFont="1" applyAlignment="1">
      <alignment horizontal="center"/>
    </xf>
    <xf numFmtId="0" fontId="9" fillId="0" borderId="8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8" fillId="0" borderId="8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2" fontId="1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14" fontId="6" fillId="0" borderId="8" xfId="0" applyNumberFormat="1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1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3" fontId="7" fillId="0" borderId="10" xfId="0" applyNumberFormat="1" applyFont="1" applyBorder="1" applyAlignment="1">
      <alignment horizontal="right"/>
    </xf>
    <xf numFmtId="3" fontId="14" fillId="0" borderId="0" xfId="0" applyNumberFormat="1" applyFont="1" applyAlignment="1">
      <alignment vertical="center" wrapText="1"/>
    </xf>
    <xf numFmtId="3" fontId="17" fillId="0" borderId="10" xfId="0" applyNumberFormat="1" applyFont="1" applyBorder="1" applyAlignment="1">
      <alignment horizontal="right"/>
    </xf>
    <xf numFmtId="0" fontId="22" fillId="0" borderId="0" xfId="0" applyFont="1" applyAlignment="1">
      <alignment horizontal="center" vertical="center" wrapText="1"/>
    </xf>
    <xf numFmtId="0" fontId="22" fillId="0" borderId="0" xfId="0" applyFont="1"/>
    <xf numFmtId="0" fontId="22" fillId="0" borderId="0" xfId="0" applyFont="1" applyAlignment="1">
      <alignment vertical="center" wrapText="1"/>
    </xf>
    <xf numFmtId="14" fontId="20" fillId="0" borderId="8" xfId="0" applyNumberFormat="1" applyFont="1" applyBorder="1" applyAlignment="1">
      <alignment horizontal="center" vertical="center" wrapText="1"/>
    </xf>
    <xf numFmtId="14" fontId="21" fillId="0" borderId="8" xfId="0" applyNumberFormat="1" applyFont="1" applyBorder="1" applyAlignment="1">
      <alignment vertical="center" wrapText="1"/>
    </xf>
    <xf numFmtId="14" fontId="8" fillId="0" borderId="8" xfId="0" quotePrefix="1" applyNumberFormat="1" applyFont="1" applyBorder="1" applyAlignment="1">
      <alignment vertical="center" wrapText="1"/>
    </xf>
    <xf numFmtId="0" fontId="24" fillId="0" borderId="0" xfId="0" applyFont="1" applyAlignment="1">
      <alignment horizontal="center"/>
    </xf>
    <xf numFmtId="2" fontId="23" fillId="0" borderId="0" xfId="0" applyNumberFormat="1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8" xfId="0" applyFont="1" applyBorder="1" applyAlignment="1">
      <alignment horizontal="center" vertical="center" wrapText="1"/>
    </xf>
    <xf numFmtId="3" fontId="26" fillId="0" borderId="8" xfId="0" applyNumberFormat="1" applyFont="1" applyBorder="1" applyAlignment="1">
      <alignment horizontal="right" vertical="center" wrapText="1"/>
    </xf>
    <xf numFmtId="14" fontId="26" fillId="0" borderId="8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7" fillId="0" borderId="8" xfId="0" applyFont="1" applyBorder="1" applyAlignment="1">
      <alignment horizontal="left" vertical="center" wrapText="1"/>
    </xf>
    <xf numFmtId="0" fontId="26" fillId="0" borderId="0" xfId="0" applyFont="1"/>
    <xf numFmtId="14" fontId="26" fillId="0" borderId="8" xfId="0" applyNumberFormat="1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3" fontId="1" fillId="0" borderId="0" xfId="0" applyNumberFormat="1" applyFont="1" applyAlignment="1">
      <alignment horizontal="center"/>
    </xf>
    <xf numFmtId="14" fontId="12" fillId="0" borderId="8" xfId="0" applyNumberFormat="1" applyFont="1" applyBorder="1" applyAlignment="1">
      <alignment horizontal="center" vertical="center" wrapText="1"/>
    </xf>
    <xf numFmtId="3" fontId="8" fillId="0" borderId="0" xfId="0" applyNumberFormat="1" applyFont="1" applyAlignment="1">
      <alignment vertical="center" wrapText="1"/>
    </xf>
    <xf numFmtId="165" fontId="9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left" vertical="center" wrapText="1"/>
    </xf>
    <xf numFmtId="0" fontId="8" fillId="2" borderId="8" xfId="0" applyFont="1" applyFill="1" applyBorder="1" applyAlignment="1">
      <alignment horizontal="center" vertical="center" wrapText="1"/>
    </xf>
    <xf numFmtId="14" fontId="30" fillId="0" borderId="8" xfId="0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14" fontId="8" fillId="0" borderId="12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7" fontId="8" fillId="0" borderId="8" xfId="0" applyNumberFormat="1" applyFont="1" applyBorder="1" applyAlignment="1">
      <alignment horizontal="center" vertical="center" wrapText="1"/>
    </xf>
    <xf numFmtId="1" fontId="8" fillId="0" borderId="8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6" fillId="0" borderId="8" xfId="0" applyFont="1" applyBorder="1"/>
    <xf numFmtId="0" fontId="6" fillId="0" borderId="8" xfId="0" applyFont="1" applyBorder="1" applyAlignment="1">
      <alignment vertical="center" wrapText="1"/>
    </xf>
    <xf numFmtId="2" fontId="6" fillId="0" borderId="8" xfId="0" applyNumberFormat="1" applyFont="1" applyBorder="1" applyAlignment="1">
      <alignment horizontal="left" vertical="center" wrapText="1"/>
    </xf>
    <xf numFmtId="0" fontId="7" fillId="0" borderId="8" xfId="0" applyFont="1" applyBorder="1"/>
    <xf numFmtId="0" fontId="17" fillId="0" borderId="8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right" vertical="center" wrapText="1"/>
    </xf>
    <xf numFmtId="3" fontId="8" fillId="2" borderId="8" xfId="0" applyNumberFormat="1" applyFont="1" applyFill="1" applyBorder="1" applyAlignment="1">
      <alignment horizontal="right" vertical="center" wrapText="1"/>
    </xf>
    <xf numFmtId="0" fontId="29" fillId="2" borderId="8" xfId="0" applyFont="1" applyFill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center" wrapText="1"/>
    </xf>
    <xf numFmtId="2" fontId="7" fillId="0" borderId="8" xfId="0" applyNumberFormat="1" applyFont="1" applyBorder="1" applyAlignment="1">
      <alignment horizontal="left" vertical="center" wrapText="1"/>
    </xf>
    <xf numFmtId="0" fontId="0" fillId="0" borderId="1" xfId="0" applyBorder="1"/>
    <xf numFmtId="0" fontId="29" fillId="0" borderId="11" xfId="0" applyFont="1" applyBorder="1" applyAlignment="1">
      <alignment vertical="center" wrapText="1"/>
    </xf>
    <xf numFmtId="3" fontId="9" fillId="0" borderId="8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/>
    </xf>
    <xf numFmtId="3" fontId="8" fillId="0" borderId="14" xfId="0" applyNumberFormat="1" applyFont="1" applyBorder="1" applyAlignment="1">
      <alignment horizontal="right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8" fillId="2" borderId="14" xfId="0" applyFont="1" applyFill="1" applyBorder="1" applyAlignment="1">
      <alignment horizontal="center" vertical="center" wrapText="1"/>
    </xf>
    <xf numFmtId="3" fontId="8" fillId="2" borderId="14" xfId="0" applyNumberFormat="1" applyFont="1" applyFill="1" applyBorder="1" applyAlignment="1">
      <alignment horizontal="right" vertical="center" wrapText="1"/>
    </xf>
    <xf numFmtId="3" fontId="9" fillId="2" borderId="8" xfId="0" applyNumberFormat="1" applyFont="1" applyFill="1" applyBorder="1" applyAlignment="1">
      <alignment horizontal="right" vertical="center" wrapText="1"/>
    </xf>
    <xf numFmtId="14" fontId="8" fillId="2" borderId="15" xfId="0" applyNumberFormat="1" applyFont="1" applyFill="1" applyBorder="1" applyAlignment="1">
      <alignment horizontal="center" vertical="center" wrapText="1"/>
    </xf>
    <xf numFmtId="166" fontId="7" fillId="0" borderId="14" xfId="1" applyNumberFormat="1" applyFont="1" applyBorder="1" applyAlignment="1">
      <alignment horizontal="center" vertical="center" wrapText="1"/>
    </xf>
    <xf numFmtId="0" fontId="29" fillId="0" borderId="14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center" vertical="center" wrapText="1"/>
    </xf>
    <xf numFmtId="3" fontId="30" fillId="0" borderId="14" xfId="0" applyNumberFormat="1" applyFont="1" applyBorder="1" applyAlignment="1">
      <alignment horizontal="right" vertical="center" wrapText="1"/>
    </xf>
    <xf numFmtId="14" fontId="30" fillId="0" borderId="15" xfId="0" applyNumberFormat="1" applyFont="1" applyBorder="1" applyAlignment="1">
      <alignment horizontal="center" vertical="center" wrapText="1"/>
    </xf>
    <xf numFmtId="3" fontId="32" fillId="0" borderId="8" xfId="0" applyNumberFormat="1" applyFont="1" applyBorder="1" applyAlignment="1">
      <alignment horizontal="right" vertical="center" wrapText="1"/>
    </xf>
    <xf numFmtId="0" fontId="7" fillId="0" borderId="10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vertical="center" wrapText="1"/>
    </xf>
    <xf numFmtId="2" fontId="6" fillId="2" borderId="8" xfId="0" applyNumberFormat="1" applyFont="1" applyFill="1" applyBorder="1" applyAlignment="1">
      <alignment horizontal="left" vertical="center" wrapText="1"/>
    </xf>
    <xf numFmtId="0" fontId="1" fillId="2" borderId="0" xfId="0" applyFont="1" applyFill="1"/>
    <xf numFmtId="3" fontId="8" fillId="0" borderId="1" xfId="0" applyNumberFormat="1" applyFont="1" applyBorder="1" applyAlignment="1">
      <alignment horizontal="center" vertical="center" wrapText="1"/>
    </xf>
    <xf numFmtId="3" fontId="8" fillId="0" borderId="12" xfId="0" applyNumberFormat="1" applyFont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0" xfId="0" applyFont="1"/>
    <xf numFmtId="0" fontId="5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/>
    </xf>
    <xf numFmtId="3" fontId="3" fillId="0" borderId="0" xfId="0" applyNumberFormat="1" applyFont="1"/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horizontal="right" vertical="center" wrapText="1"/>
    </xf>
    <xf numFmtId="3" fontId="3" fillId="0" borderId="8" xfId="0" applyNumberFormat="1" applyFont="1" applyBorder="1" applyAlignment="1">
      <alignment horizontal="right" vertical="center" wrapText="1"/>
    </xf>
    <xf numFmtId="0" fontId="3" fillId="0" borderId="1" xfId="0" applyFont="1" applyBorder="1"/>
    <xf numFmtId="3" fontId="3" fillId="0" borderId="0" xfId="0" applyNumberFormat="1" applyFont="1" applyAlignment="1">
      <alignment horizontal="right" vertical="center" wrapText="1"/>
    </xf>
    <xf numFmtId="0" fontId="33" fillId="0" borderId="8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3" fontId="3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>
      <alignment horizontal="center"/>
    </xf>
    <xf numFmtId="0" fontId="3" fillId="2" borderId="0" xfId="0" applyFont="1" applyFill="1"/>
    <xf numFmtId="3" fontId="3" fillId="2" borderId="0" xfId="0" applyNumberFormat="1" applyFont="1" applyFill="1" applyAlignment="1">
      <alignment horizontal="right" vertical="center" wrapText="1"/>
    </xf>
    <xf numFmtId="0" fontId="5" fillId="0" borderId="1" xfId="0" applyFont="1" applyBorder="1"/>
    <xf numFmtId="3" fontId="5" fillId="0" borderId="1" xfId="0" applyNumberFormat="1" applyFont="1" applyBorder="1"/>
    <xf numFmtId="0" fontId="5" fillId="0" borderId="1" xfId="0" applyFont="1" applyBorder="1" applyAlignment="1">
      <alignment horizontal="center" vertical="center"/>
    </xf>
    <xf numFmtId="3" fontId="34" fillId="0" borderId="8" xfId="0" applyNumberFormat="1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3" fontId="9" fillId="0" borderId="14" xfId="0" applyNumberFormat="1" applyFont="1" applyBorder="1" applyAlignment="1">
      <alignment horizontal="center" vertical="center" wrapText="1"/>
    </xf>
    <xf numFmtId="3" fontId="9" fillId="0" borderId="14" xfId="0" applyNumberFormat="1" applyFont="1" applyBorder="1" applyAlignment="1">
      <alignment horizontal="right" vertical="center" wrapText="1"/>
    </xf>
    <xf numFmtId="0" fontId="27" fillId="2" borderId="8" xfId="0" applyFont="1" applyFill="1" applyBorder="1" applyAlignment="1">
      <alignment horizontal="left" vertical="center" wrapText="1"/>
    </xf>
    <xf numFmtId="0" fontId="5" fillId="0" borderId="20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 vertical="top" wrapText="1"/>
    </xf>
    <xf numFmtId="0" fontId="3" fillId="0" borderId="22" xfId="0" applyFont="1" applyBorder="1" applyAlignment="1">
      <alignment horizontal="center" vertical="top" wrapText="1"/>
    </xf>
    <xf numFmtId="0" fontId="3" fillId="0" borderId="23" xfId="0" applyFont="1" applyBorder="1" applyAlignment="1">
      <alignment horizontal="justify" vertical="top" wrapText="1"/>
    </xf>
    <xf numFmtId="3" fontId="35" fillId="0" borderId="23" xfId="0" applyNumberFormat="1" applyFont="1" applyBorder="1" applyAlignment="1">
      <alignment horizontal="center" vertical="top" wrapText="1"/>
    </xf>
    <xf numFmtId="3" fontId="36" fillId="0" borderId="23" xfId="0" applyNumberFormat="1" applyFont="1" applyBorder="1" applyAlignment="1">
      <alignment horizontal="center" vertical="top" wrapText="1"/>
    </xf>
    <xf numFmtId="3" fontId="31" fillId="0" borderId="1" xfId="0" applyNumberFormat="1" applyFont="1" applyBorder="1"/>
    <xf numFmtId="3" fontId="14" fillId="0" borderId="8" xfId="0" applyNumberFormat="1" applyFont="1" applyBorder="1" applyAlignment="1">
      <alignment horizontal="right" vertical="center" wrapText="1"/>
    </xf>
    <xf numFmtId="166" fontId="14" fillId="0" borderId="1" xfId="1" applyNumberFormat="1" applyFont="1" applyBorder="1" applyAlignment="1">
      <alignment horizontal="center" vertical="center" wrapText="1"/>
    </xf>
    <xf numFmtId="166" fontId="38" fillId="0" borderId="8" xfId="1" applyNumberFormat="1" applyFont="1" applyBorder="1" applyAlignment="1">
      <alignment horizontal="center" vertical="center" wrapText="1"/>
    </xf>
    <xf numFmtId="166" fontId="14" fillId="0" borderId="8" xfId="1" applyNumberFormat="1" applyFont="1" applyBorder="1" applyAlignment="1">
      <alignment horizontal="center" vertical="center" wrapText="1"/>
    </xf>
    <xf numFmtId="166" fontId="14" fillId="2" borderId="8" xfId="1" applyNumberFormat="1" applyFont="1" applyFill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right" vertical="center" wrapText="1"/>
    </xf>
    <xf numFmtId="166" fontId="14" fillId="0" borderId="8" xfId="1" applyNumberFormat="1" applyFont="1" applyBorder="1" applyAlignment="1">
      <alignment horizontal="right" vertical="center" wrapText="1"/>
    </xf>
    <xf numFmtId="166" fontId="37" fillId="0" borderId="8" xfId="1" applyNumberFormat="1" applyFont="1" applyBorder="1" applyAlignment="1">
      <alignment horizontal="center" vertical="center" wrapText="1"/>
    </xf>
    <xf numFmtId="166" fontId="8" fillId="2" borderId="0" xfId="0" applyNumberFormat="1" applyFont="1" applyFill="1" applyAlignment="1">
      <alignment horizontal="center" vertical="center" wrapText="1"/>
    </xf>
    <xf numFmtId="0" fontId="27" fillId="0" borderId="11" xfId="0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7" fontId="6" fillId="2" borderId="1" xfId="0" applyNumberFormat="1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right" vertical="center" wrapText="1"/>
    </xf>
    <xf numFmtId="0" fontId="39" fillId="0" borderId="1" xfId="0" applyFont="1" applyBorder="1" applyAlignment="1">
      <alignment horizontal="center" wrapText="1"/>
    </xf>
    <xf numFmtId="0" fontId="8" fillId="2" borderId="1" xfId="0" applyFont="1" applyFill="1" applyBorder="1" applyAlignment="1">
      <alignment horizontal="center" vertical="center" wrapText="1"/>
    </xf>
    <xf numFmtId="3" fontId="30" fillId="0" borderId="8" xfId="0" applyNumberFormat="1" applyFont="1" applyBorder="1" applyAlignment="1">
      <alignment horizontal="right" vertical="center" wrapText="1"/>
    </xf>
    <xf numFmtId="166" fontId="8" fillId="0" borderId="15" xfId="0" applyNumberFormat="1" applyFont="1" applyBorder="1" applyAlignment="1">
      <alignment horizontal="center" vertical="center" wrapText="1"/>
    </xf>
    <xf numFmtId="0" fontId="26" fillId="2" borderId="8" xfId="0" applyFont="1" applyFill="1" applyBorder="1" applyAlignment="1">
      <alignment wrapText="1"/>
    </xf>
    <xf numFmtId="0" fontId="8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3" fontId="8" fillId="2" borderId="1" xfId="0" applyNumberFormat="1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vertical="center" wrapText="1"/>
    </xf>
    <xf numFmtId="3" fontId="30" fillId="2" borderId="1" xfId="0" applyNumberFormat="1" applyFont="1" applyFill="1" applyBorder="1" applyAlignment="1">
      <alignment horizontal="right" vertical="center" wrapText="1"/>
    </xf>
    <xf numFmtId="0" fontId="8" fillId="0" borderId="1" xfId="2" applyFont="1" applyBorder="1" applyAlignment="1">
      <alignment horizontal="left" vertical="center" wrapText="1"/>
    </xf>
    <xf numFmtId="0" fontId="30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 wrapText="1"/>
    </xf>
    <xf numFmtId="3" fontId="26" fillId="0" borderId="1" xfId="0" applyNumberFormat="1" applyFont="1" applyBorder="1" applyAlignment="1">
      <alignment horizontal="right" vertical="center" wrapText="1"/>
    </xf>
    <xf numFmtId="0" fontId="30" fillId="0" borderId="1" xfId="0" applyFont="1" applyBorder="1" applyAlignment="1">
      <alignment horizontal="left" vertical="center" wrapText="1"/>
    </xf>
    <xf numFmtId="0" fontId="8" fillId="0" borderId="1" xfId="0" quotePrefix="1" applyFont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40" fillId="0" borderId="1" xfId="0" applyFont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center" vertical="center" wrapText="1"/>
    </xf>
    <xf numFmtId="3" fontId="30" fillId="0" borderId="1" xfId="0" applyNumberFormat="1" applyFont="1" applyBorder="1" applyAlignment="1">
      <alignment horizontal="right" vertical="center" wrapText="1"/>
    </xf>
    <xf numFmtId="0" fontId="2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" fillId="0" borderId="8" xfId="0" quotePrefix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3" borderId="8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left" vertical="center" wrapText="1"/>
    </xf>
    <xf numFmtId="3" fontId="8" fillId="3" borderId="8" xfId="0" applyNumberFormat="1" applyFont="1" applyFill="1" applyBorder="1" applyAlignment="1">
      <alignment horizontal="right" vertical="center" wrapText="1"/>
    </xf>
    <xf numFmtId="14" fontId="8" fillId="3" borderId="8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3" fontId="8" fillId="0" borderId="0" xfId="0" applyNumberFormat="1" applyFont="1" applyAlignment="1">
      <alignment horizontal="right" vertical="center" wrapText="1"/>
    </xf>
    <xf numFmtId="0" fontId="7" fillId="0" borderId="1" xfId="0" applyFont="1" applyBorder="1" applyAlignment="1">
      <alignment vertical="center" wrapText="1"/>
    </xf>
    <xf numFmtId="3" fontId="8" fillId="0" borderId="1" xfId="0" quotePrefix="1" applyNumberFormat="1" applyFont="1" applyBorder="1" applyAlignment="1">
      <alignment horizontal="right" vertical="center" wrapText="1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166" fontId="1" fillId="0" borderId="1" xfId="1" applyNumberFormat="1" applyFont="1" applyBorder="1"/>
    <xf numFmtId="0" fontId="1" fillId="0" borderId="1" xfId="0" applyFont="1" applyBorder="1" applyAlignment="1">
      <alignment horizontal="center"/>
    </xf>
    <xf numFmtId="14" fontId="1" fillId="0" borderId="1" xfId="0" quotePrefix="1" applyNumberFormat="1" applyFont="1" applyBorder="1" applyAlignment="1">
      <alignment horizontal="center"/>
    </xf>
    <xf numFmtId="166" fontId="2" fillId="0" borderId="1" xfId="1" applyNumberFormat="1" applyFont="1" applyBorder="1"/>
    <xf numFmtId="166" fontId="8" fillId="0" borderId="8" xfId="1" applyNumberFormat="1" applyFont="1" applyBorder="1" applyAlignment="1">
      <alignment horizontal="center" vertical="center" wrapText="1"/>
    </xf>
    <xf numFmtId="166" fontId="8" fillId="0" borderId="8" xfId="1" applyNumberFormat="1" applyFont="1" applyBorder="1" applyAlignment="1">
      <alignment vertical="center" wrapText="1"/>
    </xf>
    <xf numFmtId="3" fontId="8" fillId="0" borderId="0" xfId="0" applyNumberFormat="1" applyFont="1" applyAlignment="1">
      <alignment horizontal="center" vertical="center" wrapText="1"/>
    </xf>
    <xf numFmtId="3" fontId="8" fillId="0" borderId="0" xfId="0" quotePrefix="1" applyNumberFormat="1" applyFont="1" applyAlignment="1">
      <alignment horizontal="right" vertical="center" wrapText="1"/>
    </xf>
    <xf numFmtId="14" fontId="8" fillId="0" borderId="0" xfId="0" applyNumberFormat="1" applyFont="1" applyAlignment="1">
      <alignment horizontal="center" vertical="center" wrapText="1"/>
    </xf>
    <xf numFmtId="0" fontId="30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right" vertical="center" wrapText="1"/>
    </xf>
    <xf numFmtId="0" fontId="16" fillId="3" borderId="0" xfId="0" applyFont="1" applyFill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165" fontId="8" fillId="3" borderId="8" xfId="0" applyNumberFormat="1" applyFont="1" applyFill="1" applyBorder="1" applyAlignment="1">
      <alignment horizontal="center" vertical="center" wrapText="1"/>
    </xf>
    <xf numFmtId="3" fontId="8" fillId="3" borderId="0" xfId="0" applyNumberFormat="1" applyFont="1" applyFill="1" applyAlignment="1">
      <alignment horizontal="right" vertical="center" wrapText="1"/>
    </xf>
    <xf numFmtId="3" fontId="8" fillId="3" borderId="0" xfId="0" applyNumberFormat="1" applyFont="1" applyFill="1" applyAlignment="1">
      <alignment horizontal="center" vertical="center" wrapText="1"/>
    </xf>
    <xf numFmtId="3" fontId="8" fillId="3" borderId="0" xfId="0" quotePrefix="1" applyNumberFormat="1" applyFont="1" applyFill="1" applyAlignment="1">
      <alignment horizontal="right" vertical="center" wrapText="1"/>
    </xf>
    <xf numFmtId="14" fontId="8" fillId="3" borderId="0" xfId="0" applyNumberFormat="1" applyFont="1" applyFill="1" applyAlignment="1">
      <alignment horizontal="center" vertical="center" wrapText="1"/>
    </xf>
    <xf numFmtId="0" fontId="0" fillId="3" borderId="0" xfId="0" applyFill="1"/>
    <xf numFmtId="166" fontId="8" fillId="3" borderId="8" xfId="1" applyNumberFormat="1" applyFont="1" applyFill="1" applyBorder="1" applyAlignment="1">
      <alignment horizontal="center" vertical="center" wrapText="1"/>
    </xf>
    <xf numFmtId="166" fontId="1" fillId="0" borderId="0" xfId="0" applyNumberFormat="1" applyFont="1"/>
    <xf numFmtId="0" fontId="2" fillId="0" borderId="0" xfId="0" applyFont="1"/>
    <xf numFmtId="3" fontId="31" fillId="0" borderId="0" xfId="0" applyNumberFormat="1" applyFon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66" fontId="1" fillId="3" borderId="1" xfId="1" applyNumberFormat="1" applyFont="1" applyFill="1" applyBorder="1"/>
    <xf numFmtId="14" fontId="1" fillId="3" borderId="1" xfId="0" quotePrefix="1" applyNumberFormat="1" applyFont="1" applyFill="1" applyBorder="1" applyAlignment="1">
      <alignment horizontal="center"/>
    </xf>
    <xf numFmtId="0" fontId="1" fillId="3" borderId="0" xfId="0" applyFont="1" applyFill="1"/>
    <xf numFmtId="166" fontId="1" fillId="3" borderId="0" xfId="0" applyNumberFormat="1" applyFont="1" applyFill="1"/>
    <xf numFmtId="0" fontId="1" fillId="3" borderId="1" xfId="0" quotePrefix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166" fontId="26" fillId="0" borderId="8" xfId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3" fontId="11" fillId="0" borderId="0" xfId="0" applyNumberFormat="1" applyFont="1" applyAlignment="1">
      <alignment horizontal="right"/>
    </xf>
    <xf numFmtId="0" fontId="11" fillId="0" borderId="0" xfId="0" applyFont="1" applyAlignment="1">
      <alignment horizontal="right"/>
    </xf>
    <xf numFmtId="0" fontId="17" fillId="0" borderId="13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5" fillId="0" borderId="13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15" fillId="0" borderId="15" xfId="0" applyFont="1" applyBorder="1" applyAlignment="1">
      <alignment horizontal="left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center"/>
    </xf>
    <xf numFmtId="0" fontId="5" fillId="0" borderId="24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2</xdr:row>
      <xdr:rowOff>0</xdr:rowOff>
    </xdr:from>
    <xdr:to>
      <xdr:col>2</xdr:col>
      <xdr:colOff>342900</xdr:colOff>
      <xdr:row>2</xdr:row>
      <xdr:rowOff>1588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95325" y="476250"/>
          <a:ext cx="14668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2</xdr:row>
      <xdr:rowOff>9525</xdr:rowOff>
    </xdr:from>
    <xdr:to>
      <xdr:col>13</xdr:col>
      <xdr:colOff>104775</xdr:colOff>
      <xdr:row>2</xdr:row>
      <xdr:rowOff>11113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7277100" y="485775"/>
          <a:ext cx="13525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306480</xdr:colOff>
      <xdr:row>2</xdr:row>
      <xdr:rowOff>0</xdr:rowOff>
    </xdr:from>
    <xdr:to>
      <xdr:col>2</xdr:col>
      <xdr:colOff>316005</xdr:colOff>
      <xdr:row>2</xdr:row>
      <xdr:rowOff>1588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D7F60BF-B376-419F-8A5F-6AAFCEA8055F}"/>
            </a:ext>
          </a:extLst>
        </xdr:cNvPr>
        <xdr:cNvCxnSpPr/>
      </xdr:nvCxnSpPr>
      <xdr:spPr>
        <a:xfrm>
          <a:off x="706530" y="476250"/>
          <a:ext cx="12668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284069</xdr:colOff>
      <xdr:row>1</xdr:row>
      <xdr:rowOff>233642</xdr:rowOff>
    </xdr:from>
    <xdr:to>
      <xdr:col>15</xdr:col>
      <xdr:colOff>104775</xdr:colOff>
      <xdr:row>1</xdr:row>
      <xdr:rowOff>235230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8B600DA-D8C0-4ADE-9ED6-52849F56EFD3}"/>
            </a:ext>
          </a:extLst>
        </xdr:cNvPr>
        <xdr:cNvCxnSpPr/>
      </xdr:nvCxnSpPr>
      <xdr:spPr>
        <a:xfrm>
          <a:off x="7704044" y="471767"/>
          <a:ext cx="134470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2</xdr:row>
      <xdr:rowOff>0</xdr:rowOff>
    </xdr:from>
    <xdr:to>
      <xdr:col>2</xdr:col>
      <xdr:colOff>342900</xdr:colOff>
      <xdr:row>2</xdr:row>
      <xdr:rowOff>1588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628650" y="476250"/>
          <a:ext cx="112395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104775</xdr:colOff>
      <xdr:row>2</xdr:row>
      <xdr:rowOff>9525</xdr:rowOff>
    </xdr:from>
    <xdr:to>
      <xdr:col>13</xdr:col>
      <xdr:colOff>104775</xdr:colOff>
      <xdr:row>2</xdr:row>
      <xdr:rowOff>11113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6238875" y="485775"/>
          <a:ext cx="129540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31"/>
  <sheetViews>
    <sheetView tabSelected="1" zoomScale="85" zoomScaleNormal="85" workbookViewId="0">
      <pane ySplit="7" topLeftCell="A79" activePane="bottomLeft" state="frozen"/>
      <selection pane="bottomLeft" activeCell="C83" sqref="C83"/>
    </sheetView>
  </sheetViews>
  <sheetFormatPr defaultColWidth="9.140625" defaultRowHeight="18.75" x14ac:dyDescent="0.3"/>
  <cols>
    <col min="1" max="1" width="5.42578125" style="2" customWidth="1"/>
    <col min="2" max="2" width="21.85546875" style="1" customWidth="1"/>
    <col min="3" max="3" width="21.140625" style="1" customWidth="1"/>
    <col min="4" max="4" width="6.140625" style="2" customWidth="1"/>
    <col min="5" max="5" width="9.85546875" style="2" customWidth="1"/>
    <col min="6" max="6" width="5.42578125" style="2" customWidth="1"/>
    <col min="7" max="7" width="6.140625" style="2" customWidth="1"/>
    <col min="8" max="8" width="6.28515625" style="2" customWidth="1"/>
    <col min="9" max="9" width="6.85546875" style="2" customWidth="1"/>
    <col min="10" max="10" width="8.5703125" style="15" customWidth="1"/>
    <col min="11" max="11" width="9.85546875" style="15" customWidth="1"/>
    <col min="12" max="12" width="12.42578125" style="15" customWidth="1"/>
    <col min="13" max="13" width="7.85546875" style="15" customWidth="1"/>
    <col min="14" max="14" width="11.85546875" style="15" customWidth="1"/>
    <col min="15" max="15" width="13.5703125" style="15" customWidth="1"/>
    <col min="16" max="16" width="14.5703125" style="1" customWidth="1"/>
    <col min="17" max="17" width="11.42578125" style="1" bestFit="1" customWidth="1"/>
    <col min="18" max="16384" width="9.140625" style="1"/>
  </cols>
  <sheetData>
    <row r="1" spans="1:22" x14ac:dyDescent="0.3">
      <c r="A1" s="261" t="s">
        <v>403</v>
      </c>
      <c r="B1" s="261"/>
      <c r="C1" s="261"/>
      <c r="D1" s="42"/>
      <c r="J1" s="261" t="s">
        <v>103</v>
      </c>
      <c r="K1" s="261"/>
      <c r="L1" s="261"/>
      <c r="M1" s="261"/>
      <c r="N1" s="261"/>
      <c r="O1" s="261"/>
    </row>
    <row r="2" spans="1:22" x14ac:dyDescent="0.3">
      <c r="A2" s="260" t="s">
        <v>404</v>
      </c>
      <c r="B2" s="260"/>
      <c r="C2" s="260"/>
      <c r="J2" s="262" t="s">
        <v>104</v>
      </c>
      <c r="K2" s="262"/>
      <c r="L2" s="262"/>
      <c r="M2" s="262"/>
      <c r="N2" s="262"/>
      <c r="O2" s="262"/>
      <c r="Q2" s="129"/>
      <c r="R2" s="129"/>
      <c r="S2" s="129"/>
      <c r="T2" s="129"/>
      <c r="U2" s="129"/>
      <c r="V2" s="129"/>
    </row>
    <row r="3" spans="1:22" x14ac:dyDescent="0.3">
      <c r="B3" s="20"/>
      <c r="J3" s="42"/>
      <c r="K3" s="42"/>
      <c r="L3" s="42"/>
      <c r="M3" s="42"/>
      <c r="N3" s="42"/>
      <c r="O3" s="42"/>
    </row>
    <row r="4" spans="1:22" ht="45" customHeight="1" x14ac:dyDescent="0.3">
      <c r="A4" s="263" t="s">
        <v>424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</row>
    <row r="5" spans="1:22" x14ac:dyDescent="0.3">
      <c r="P5" s="15" t="s">
        <v>102</v>
      </c>
    </row>
    <row r="6" spans="1:22" s="24" customFormat="1" ht="12.75" x14ac:dyDescent="0.25">
      <c r="A6" s="283" t="s">
        <v>0</v>
      </c>
      <c r="B6" s="283" t="s">
        <v>1</v>
      </c>
      <c r="C6" s="283" t="s">
        <v>2</v>
      </c>
      <c r="D6" s="283" t="s">
        <v>94</v>
      </c>
      <c r="E6" s="283" t="s">
        <v>3</v>
      </c>
      <c r="F6" s="283" t="s">
        <v>4</v>
      </c>
      <c r="G6" s="259" t="s">
        <v>96</v>
      </c>
      <c r="H6" s="259"/>
      <c r="I6" s="259"/>
      <c r="J6" s="280" t="s">
        <v>5</v>
      </c>
      <c r="K6" s="281"/>
      <c r="L6" s="282"/>
      <c r="M6" s="280" t="s">
        <v>6</v>
      </c>
      <c r="N6" s="282"/>
      <c r="O6" s="283" t="s">
        <v>364</v>
      </c>
      <c r="P6" s="283" t="s">
        <v>25</v>
      </c>
    </row>
    <row r="7" spans="1:22" s="24" customFormat="1" ht="28.5" x14ac:dyDescent="0.25">
      <c r="A7" s="284"/>
      <c r="B7" s="284"/>
      <c r="C7" s="284"/>
      <c r="D7" s="284"/>
      <c r="E7" s="284"/>
      <c r="F7" s="284"/>
      <c r="G7" s="43" t="s">
        <v>97</v>
      </c>
      <c r="H7" s="43" t="s">
        <v>98</v>
      </c>
      <c r="I7" s="43" t="s">
        <v>118</v>
      </c>
      <c r="J7" s="43" t="s">
        <v>101</v>
      </c>
      <c r="K7" s="43" t="s">
        <v>95</v>
      </c>
      <c r="L7" s="43" t="s">
        <v>363</v>
      </c>
      <c r="M7" s="43" t="s">
        <v>95</v>
      </c>
      <c r="N7" s="43" t="s">
        <v>363</v>
      </c>
      <c r="O7" s="284"/>
      <c r="P7" s="284"/>
    </row>
    <row r="8" spans="1:22" s="5" customFormat="1" ht="24" x14ac:dyDescent="0.25">
      <c r="A8" s="93">
        <v>1</v>
      </c>
      <c r="B8" s="93">
        <v>2</v>
      </c>
      <c r="C8" s="46">
        <v>3</v>
      </c>
      <c r="D8" s="46"/>
      <c r="E8" s="46">
        <v>4</v>
      </c>
      <c r="F8" s="46">
        <v>6</v>
      </c>
      <c r="G8" s="46">
        <v>7</v>
      </c>
      <c r="H8" s="46">
        <v>8</v>
      </c>
      <c r="I8" s="46" t="s">
        <v>119</v>
      </c>
      <c r="J8" s="46">
        <v>10</v>
      </c>
      <c r="K8" s="46" t="s">
        <v>120</v>
      </c>
      <c r="L8" s="46" t="s">
        <v>121</v>
      </c>
      <c r="M8" s="46">
        <v>13</v>
      </c>
      <c r="N8" s="46" t="s">
        <v>122</v>
      </c>
      <c r="O8" s="46" t="s">
        <v>123</v>
      </c>
      <c r="P8" s="46">
        <v>19</v>
      </c>
    </row>
    <row r="9" spans="1:22" s="3" customFormat="1" ht="12.75" x14ac:dyDescent="0.2">
      <c r="A9" s="285" t="s">
        <v>303</v>
      </c>
      <c r="B9" s="285"/>
      <c r="C9" s="285"/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285"/>
      <c r="O9" s="285"/>
      <c r="P9" s="286"/>
    </row>
    <row r="10" spans="1:22" s="53" customFormat="1" ht="15" x14ac:dyDescent="0.25">
      <c r="A10" s="6">
        <v>1</v>
      </c>
      <c r="B10" s="85" t="s">
        <v>32</v>
      </c>
      <c r="C10" s="7" t="s">
        <v>334</v>
      </c>
      <c r="D10" s="211" t="s">
        <v>439</v>
      </c>
      <c r="E10" s="6" t="s">
        <v>173</v>
      </c>
      <c r="F10" s="6">
        <v>1</v>
      </c>
      <c r="G10" s="6">
        <v>1.8</v>
      </c>
      <c r="H10" s="6">
        <v>2.1</v>
      </c>
      <c r="I10" s="6">
        <f t="shared" ref="I10:I18" si="0">G10*H10</f>
        <v>3.7800000000000002</v>
      </c>
      <c r="J10" s="16">
        <v>105000</v>
      </c>
      <c r="K10" s="16">
        <f t="shared" ref="K10:K60" si="1">I10*J10</f>
        <v>396900</v>
      </c>
      <c r="L10" s="16">
        <f t="shared" ref="L10:L18" si="2">K10*12</f>
        <v>4762800</v>
      </c>
      <c r="M10" s="16">
        <v>69000</v>
      </c>
      <c r="N10" s="16">
        <f t="shared" ref="N10:N18" si="3">M10*12</f>
        <v>828000</v>
      </c>
      <c r="O10" s="16">
        <f>L10+N10</f>
        <v>5590800</v>
      </c>
      <c r="P10" s="230">
        <v>5590800</v>
      </c>
    </row>
    <row r="11" spans="1:22" s="8" customFormat="1" ht="15" x14ac:dyDescent="0.25">
      <c r="A11" s="6">
        <v>2</v>
      </c>
      <c r="B11" s="92" t="s">
        <v>7</v>
      </c>
      <c r="C11" s="7" t="s">
        <v>343</v>
      </c>
      <c r="D11" s="211" t="s">
        <v>440</v>
      </c>
      <c r="E11" s="6" t="s">
        <v>11</v>
      </c>
      <c r="F11" s="6">
        <v>1</v>
      </c>
      <c r="G11" s="6">
        <v>1.8</v>
      </c>
      <c r="H11" s="6">
        <v>2.1</v>
      </c>
      <c r="I11" s="6">
        <f t="shared" si="0"/>
        <v>3.7800000000000002</v>
      </c>
      <c r="J11" s="16">
        <v>105000</v>
      </c>
      <c r="K11" s="16">
        <f t="shared" si="1"/>
        <v>396900</v>
      </c>
      <c r="L11" s="16">
        <f t="shared" si="2"/>
        <v>4762800</v>
      </c>
      <c r="M11" s="16">
        <v>69000</v>
      </c>
      <c r="N11" s="16">
        <f t="shared" si="3"/>
        <v>828000</v>
      </c>
      <c r="O11" s="16">
        <f>L11+N11</f>
        <v>5590800</v>
      </c>
      <c r="P11" s="230"/>
    </row>
    <row r="12" spans="1:22" s="67" customFormat="1" ht="15" x14ac:dyDescent="0.25">
      <c r="A12" s="6">
        <v>3</v>
      </c>
      <c r="B12" s="180" t="s">
        <v>8</v>
      </c>
      <c r="C12" s="181" t="s">
        <v>170</v>
      </c>
      <c r="D12" s="211" t="s">
        <v>447</v>
      </c>
      <c r="E12" s="60" t="s">
        <v>12</v>
      </c>
      <c r="F12" s="60">
        <v>1</v>
      </c>
      <c r="G12" s="60">
        <v>1.8</v>
      </c>
      <c r="H12" s="60">
        <v>2.1</v>
      </c>
      <c r="I12" s="60">
        <f t="shared" si="0"/>
        <v>3.7800000000000002</v>
      </c>
      <c r="J12" s="61">
        <v>105000</v>
      </c>
      <c r="K12" s="61">
        <f t="shared" si="1"/>
        <v>396900</v>
      </c>
      <c r="L12" s="61">
        <f t="shared" si="2"/>
        <v>4762800</v>
      </c>
      <c r="M12" s="61">
        <v>69000</v>
      </c>
      <c r="N12" s="61">
        <f t="shared" si="3"/>
        <v>828000</v>
      </c>
      <c r="O12" s="61">
        <f t="shared" ref="O12:O18" si="4">L12+N12</f>
        <v>5590800</v>
      </c>
      <c r="P12" s="230">
        <f>O12</f>
        <v>5590800</v>
      </c>
    </row>
    <row r="13" spans="1:22" s="67" customFormat="1" ht="15" x14ac:dyDescent="0.25">
      <c r="A13" s="6">
        <v>4</v>
      </c>
      <c r="B13" s="133" t="s">
        <v>345</v>
      </c>
      <c r="C13" s="184" t="s">
        <v>346</v>
      </c>
      <c r="D13" s="211" t="s">
        <v>441</v>
      </c>
      <c r="E13" s="60" t="s">
        <v>347</v>
      </c>
      <c r="F13" s="60">
        <v>1</v>
      </c>
      <c r="G13" s="60">
        <v>1.8</v>
      </c>
      <c r="H13" s="60">
        <v>2.1</v>
      </c>
      <c r="I13" s="60">
        <f t="shared" si="0"/>
        <v>3.7800000000000002</v>
      </c>
      <c r="J13" s="61">
        <v>105000</v>
      </c>
      <c r="K13" s="61">
        <f t="shared" si="1"/>
        <v>396900</v>
      </c>
      <c r="L13" s="61">
        <f t="shared" si="2"/>
        <v>4762800</v>
      </c>
      <c r="M13" s="61">
        <v>69000</v>
      </c>
      <c r="N13" s="61">
        <f t="shared" si="3"/>
        <v>828000</v>
      </c>
      <c r="O13" s="61">
        <f t="shared" si="4"/>
        <v>5590800</v>
      </c>
      <c r="P13" s="230"/>
    </row>
    <row r="14" spans="1:22" s="8" customFormat="1" ht="30" x14ac:dyDescent="0.25">
      <c r="A14" s="6">
        <v>5</v>
      </c>
      <c r="B14" s="182" t="s">
        <v>342</v>
      </c>
      <c r="C14" s="183" t="s">
        <v>133</v>
      </c>
      <c r="D14" s="211" t="s">
        <v>442</v>
      </c>
      <c r="E14" s="6" t="s">
        <v>169</v>
      </c>
      <c r="F14" s="6">
        <v>1</v>
      </c>
      <c r="G14" s="6">
        <v>1</v>
      </c>
      <c r="H14" s="6">
        <v>3.78</v>
      </c>
      <c r="I14" s="6">
        <f t="shared" si="0"/>
        <v>3.78</v>
      </c>
      <c r="J14" s="16">
        <v>105000</v>
      </c>
      <c r="K14" s="16">
        <f t="shared" si="1"/>
        <v>396900</v>
      </c>
      <c r="L14" s="16">
        <f t="shared" si="2"/>
        <v>4762800</v>
      </c>
      <c r="M14" s="16">
        <v>69000</v>
      </c>
      <c r="N14" s="16">
        <f t="shared" si="3"/>
        <v>828000</v>
      </c>
      <c r="O14" s="91">
        <f t="shared" si="4"/>
        <v>5590800</v>
      </c>
      <c r="P14" s="230">
        <v>5590800</v>
      </c>
    </row>
    <row r="15" spans="1:22" s="8" customFormat="1" ht="30" x14ac:dyDescent="0.25">
      <c r="A15" s="6">
        <v>6</v>
      </c>
      <c r="B15" s="85" t="s">
        <v>9</v>
      </c>
      <c r="C15" s="7" t="s">
        <v>206</v>
      </c>
      <c r="D15" s="211" t="s">
        <v>443</v>
      </c>
      <c r="E15" s="6" t="s">
        <v>15</v>
      </c>
      <c r="F15" s="6">
        <v>2</v>
      </c>
      <c r="G15" s="6">
        <f>1.8*2</f>
        <v>3.6</v>
      </c>
      <c r="H15" s="6">
        <v>2.1</v>
      </c>
      <c r="I15" s="6">
        <f t="shared" si="0"/>
        <v>7.5600000000000005</v>
      </c>
      <c r="J15" s="16">
        <v>105000</v>
      </c>
      <c r="K15" s="16">
        <f>I15*J15</f>
        <v>793800</v>
      </c>
      <c r="L15" s="16">
        <f t="shared" si="2"/>
        <v>9525600</v>
      </c>
      <c r="M15" s="16">
        <v>69000</v>
      </c>
      <c r="N15" s="16">
        <f t="shared" si="3"/>
        <v>828000</v>
      </c>
      <c r="O15" s="16">
        <f t="shared" si="4"/>
        <v>10353600</v>
      </c>
      <c r="P15" s="230"/>
    </row>
    <row r="16" spans="1:22" s="8" customFormat="1" ht="15" x14ac:dyDescent="0.25">
      <c r="A16" s="6">
        <v>7</v>
      </c>
      <c r="B16" s="85" t="s">
        <v>10</v>
      </c>
      <c r="C16" s="7" t="s">
        <v>226</v>
      </c>
      <c r="D16" s="211" t="s">
        <v>444</v>
      </c>
      <c r="E16" s="6" t="s">
        <v>59</v>
      </c>
      <c r="F16" s="6">
        <v>2</v>
      </c>
      <c r="G16" s="6">
        <f>1.8*2</f>
        <v>3.6</v>
      </c>
      <c r="H16" s="6">
        <v>2.1</v>
      </c>
      <c r="I16" s="6">
        <f t="shared" si="0"/>
        <v>7.5600000000000005</v>
      </c>
      <c r="J16" s="16">
        <v>105000</v>
      </c>
      <c r="K16" s="16">
        <f>I16*J16</f>
        <v>793800</v>
      </c>
      <c r="L16" s="16">
        <f t="shared" si="2"/>
        <v>9525600</v>
      </c>
      <c r="M16" s="16">
        <v>69000</v>
      </c>
      <c r="N16" s="16">
        <f t="shared" si="3"/>
        <v>828000</v>
      </c>
      <c r="O16" s="16">
        <f t="shared" si="4"/>
        <v>10353600</v>
      </c>
      <c r="P16" s="230"/>
    </row>
    <row r="17" spans="1:18" s="8" customFormat="1" ht="15" x14ac:dyDescent="0.25">
      <c r="A17" s="6">
        <v>8</v>
      </c>
      <c r="B17" s="85" t="s">
        <v>245</v>
      </c>
      <c r="C17" s="7" t="s">
        <v>320</v>
      </c>
      <c r="D17" s="211" t="s">
        <v>445</v>
      </c>
      <c r="E17" s="6" t="s">
        <v>59</v>
      </c>
      <c r="F17" s="6">
        <v>2</v>
      </c>
      <c r="G17" s="6">
        <f>1.8*2</f>
        <v>3.6</v>
      </c>
      <c r="H17" s="6">
        <v>2.1</v>
      </c>
      <c r="I17" s="6">
        <f t="shared" si="0"/>
        <v>7.5600000000000005</v>
      </c>
      <c r="J17" s="16">
        <v>105000</v>
      </c>
      <c r="K17" s="16">
        <f t="shared" si="1"/>
        <v>793800</v>
      </c>
      <c r="L17" s="16">
        <f>K17*12</f>
        <v>9525600</v>
      </c>
      <c r="M17" s="16"/>
      <c r="N17" s="16"/>
      <c r="O17" s="16">
        <f>L17+N17</f>
        <v>9525600</v>
      </c>
      <c r="P17" s="230">
        <f>O17</f>
        <v>9525600</v>
      </c>
    </row>
    <row r="18" spans="1:18" s="8" customFormat="1" ht="25.5" x14ac:dyDescent="0.25">
      <c r="A18" s="6">
        <v>9</v>
      </c>
      <c r="B18" s="85" t="s">
        <v>433</v>
      </c>
      <c r="C18" s="7" t="s">
        <v>434</v>
      </c>
      <c r="D18" s="211" t="s">
        <v>446</v>
      </c>
      <c r="E18" s="6" t="s">
        <v>15</v>
      </c>
      <c r="F18" s="6">
        <v>3</v>
      </c>
      <c r="G18" s="6">
        <f>1.8*3</f>
        <v>5.4</v>
      </c>
      <c r="H18" s="6">
        <v>2.1</v>
      </c>
      <c r="I18" s="6">
        <f t="shared" si="0"/>
        <v>11.340000000000002</v>
      </c>
      <c r="J18" s="16">
        <v>105000</v>
      </c>
      <c r="K18" s="16">
        <f t="shared" si="1"/>
        <v>1190700.0000000002</v>
      </c>
      <c r="L18" s="16">
        <f t="shared" si="2"/>
        <v>14288400.000000004</v>
      </c>
      <c r="M18" s="16">
        <v>69000</v>
      </c>
      <c r="N18" s="16">
        <f t="shared" si="3"/>
        <v>828000</v>
      </c>
      <c r="O18" s="16">
        <f t="shared" si="4"/>
        <v>15116400.000000004</v>
      </c>
      <c r="P18" s="230">
        <f>O18</f>
        <v>15116400.000000004</v>
      </c>
    </row>
    <row r="19" spans="1:18" s="8" customFormat="1" ht="15" x14ac:dyDescent="0.25">
      <c r="A19" s="95"/>
      <c r="B19" s="99" t="s">
        <v>304</v>
      </c>
      <c r="C19" s="96"/>
      <c r="D19" s="97"/>
      <c r="E19" s="98"/>
      <c r="F19" s="34">
        <f>SUM(F10:F18)</f>
        <v>14</v>
      </c>
      <c r="G19" s="6"/>
      <c r="H19" s="6"/>
      <c r="I19" s="6"/>
      <c r="J19" s="16"/>
      <c r="K19" s="16">
        <f>SUM(K10:K18)</f>
        <v>5556600</v>
      </c>
      <c r="L19" s="17">
        <f>SUM(L10:L18)</f>
        <v>66679200</v>
      </c>
      <c r="M19" s="16"/>
      <c r="N19" s="17">
        <f>SUM(N10:N18)</f>
        <v>6624000</v>
      </c>
      <c r="O19" s="17">
        <f>SUM(O10:O18)</f>
        <v>73303200</v>
      </c>
      <c r="P19" s="27"/>
    </row>
    <row r="20" spans="1:18" s="8" customFormat="1" ht="15" x14ac:dyDescent="0.25">
      <c r="A20" s="287" t="s">
        <v>305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9"/>
    </row>
    <row r="21" spans="1:18" s="8" customFormat="1" ht="30" x14ac:dyDescent="0.25">
      <c r="A21" s="6">
        <v>1</v>
      </c>
      <c r="B21" s="127" t="s">
        <v>16</v>
      </c>
      <c r="C21" s="7" t="s">
        <v>333</v>
      </c>
      <c r="D21" s="6">
        <v>10</v>
      </c>
      <c r="E21" s="6" t="s">
        <v>17</v>
      </c>
      <c r="F21" s="6">
        <v>2</v>
      </c>
      <c r="G21" s="6">
        <f>2*2</f>
        <v>4</v>
      </c>
      <c r="H21" s="6">
        <v>2</v>
      </c>
      <c r="I21" s="6">
        <v>8</v>
      </c>
      <c r="J21" s="16">
        <v>85000</v>
      </c>
      <c r="K21" s="16">
        <f t="shared" si="1"/>
        <v>680000</v>
      </c>
      <c r="L21" s="16">
        <f>K21*12</f>
        <v>8160000</v>
      </c>
      <c r="M21" s="16">
        <v>69000</v>
      </c>
      <c r="N21" s="16">
        <f>M21*12</f>
        <v>828000</v>
      </c>
      <c r="O21" s="16">
        <f>L21+N21</f>
        <v>8988000</v>
      </c>
      <c r="P21" s="49"/>
    </row>
    <row r="22" spans="1:18" s="8" customFormat="1" ht="30" x14ac:dyDescent="0.25">
      <c r="A22" s="6">
        <v>2</v>
      </c>
      <c r="B22" s="85" t="s">
        <v>10</v>
      </c>
      <c r="C22" s="7" t="s">
        <v>226</v>
      </c>
      <c r="D22" s="6">
        <v>11</v>
      </c>
      <c r="E22" s="6" t="s">
        <v>13</v>
      </c>
      <c r="F22" s="6">
        <v>2</v>
      </c>
      <c r="G22" s="6">
        <f>2*2</f>
        <v>4</v>
      </c>
      <c r="H22" s="6">
        <v>2</v>
      </c>
      <c r="I22" s="6">
        <f>G22*H22</f>
        <v>8</v>
      </c>
      <c r="J22" s="16">
        <v>85000</v>
      </c>
      <c r="K22" s="16">
        <f t="shared" si="1"/>
        <v>680000</v>
      </c>
      <c r="L22" s="16">
        <f>K22*12</f>
        <v>8160000</v>
      </c>
      <c r="M22" s="16"/>
      <c r="N22" s="16"/>
      <c r="O22" s="16">
        <f>L22+N22</f>
        <v>8160000</v>
      </c>
      <c r="P22" s="27"/>
    </row>
    <row r="23" spans="1:18" s="8" customFormat="1" ht="30" x14ac:dyDescent="0.25">
      <c r="A23" s="6">
        <v>3</v>
      </c>
      <c r="B23" s="85" t="s">
        <v>93</v>
      </c>
      <c r="C23" s="7" t="s">
        <v>125</v>
      </c>
      <c r="D23" s="6">
        <v>12</v>
      </c>
      <c r="E23" s="6" t="s">
        <v>18</v>
      </c>
      <c r="F23" s="6">
        <v>2</v>
      </c>
      <c r="G23" s="6">
        <f>2*2</f>
        <v>4</v>
      </c>
      <c r="H23" s="6">
        <v>2</v>
      </c>
      <c r="I23" s="6">
        <f>G23*H23</f>
        <v>8</v>
      </c>
      <c r="J23" s="16">
        <v>85000</v>
      </c>
      <c r="K23" s="16">
        <f t="shared" si="1"/>
        <v>680000</v>
      </c>
      <c r="L23" s="16">
        <f>K23*12</f>
        <v>8160000</v>
      </c>
      <c r="M23" s="16">
        <v>69000</v>
      </c>
      <c r="N23" s="16">
        <v>828000</v>
      </c>
      <c r="O23" s="16">
        <f>L23+N23</f>
        <v>8988000</v>
      </c>
      <c r="P23" s="16"/>
      <c r="Q23" s="70"/>
      <c r="R23" s="70"/>
    </row>
    <row r="24" spans="1:18" s="8" customFormat="1" ht="15" x14ac:dyDescent="0.25">
      <c r="A24" s="95"/>
      <c r="B24" s="99" t="s">
        <v>304</v>
      </c>
      <c r="C24" s="96"/>
      <c r="D24" s="97"/>
      <c r="E24" s="98"/>
      <c r="F24" s="6">
        <f>SUM(F21:F23)</f>
        <v>6</v>
      </c>
      <c r="G24" s="6"/>
      <c r="H24" s="6"/>
      <c r="I24" s="6"/>
      <c r="J24" s="16"/>
      <c r="K24" s="16"/>
      <c r="L24" s="17">
        <f>SUM(L21:L23)</f>
        <v>24480000</v>
      </c>
      <c r="M24" s="16"/>
      <c r="N24" s="17">
        <f>SUM(N21:N23)</f>
        <v>1656000</v>
      </c>
      <c r="O24" s="17">
        <f>SUM(O21:O23)</f>
        <v>26136000</v>
      </c>
      <c r="P24" s="27"/>
    </row>
    <row r="25" spans="1:18" s="11" customFormat="1" ht="15" x14ac:dyDescent="0.25">
      <c r="A25" s="287" t="s">
        <v>306</v>
      </c>
      <c r="B25" s="288"/>
      <c r="C25" s="288"/>
      <c r="D25" s="288"/>
      <c r="E25" s="288"/>
      <c r="F25" s="288"/>
      <c r="G25" s="288"/>
      <c r="H25" s="288"/>
      <c r="I25" s="288"/>
      <c r="J25" s="288"/>
      <c r="K25" s="288"/>
      <c r="L25" s="288"/>
      <c r="M25" s="288"/>
      <c r="N25" s="288"/>
      <c r="O25" s="288"/>
      <c r="P25" s="289"/>
    </row>
    <row r="26" spans="1:18" s="11" customFormat="1" ht="30" x14ac:dyDescent="0.25">
      <c r="A26" s="6">
        <v>1</v>
      </c>
      <c r="B26" s="126" t="s">
        <v>19</v>
      </c>
      <c r="C26" s="73" t="s">
        <v>210</v>
      </c>
      <c r="D26" s="6">
        <v>13</v>
      </c>
      <c r="E26" s="6" t="s">
        <v>15</v>
      </c>
      <c r="F26" s="6">
        <v>2</v>
      </c>
      <c r="G26" s="6">
        <v>4</v>
      </c>
      <c r="H26" s="6">
        <v>2</v>
      </c>
      <c r="I26" s="6">
        <f t="shared" ref="I26:I36" si="5">G26*H26</f>
        <v>8</v>
      </c>
      <c r="J26" s="16">
        <v>85000</v>
      </c>
      <c r="K26" s="16">
        <f>I26*J26</f>
        <v>680000</v>
      </c>
      <c r="L26" s="16">
        <f t="shared" ref="L26:L60" si="6">K26*12</f>
        <v>8160000</v>
      </c>
      <c r="M26" s="16">
        <v>69000</v>
      </c>
      <c r="N26" s="16">
        <f t="shared" ref="N26:N60" si="7">M26*12</f>
        <v>828000</v>
      </c>
      <c r="O26" s="16">
        <f t="shared" ref="O26:O36" si="8">L26+N26</f>
        <v>8988000</v>
      </c>
      <c r="P26" s="171"/>
    </row>
    <row r="27" spans="1:18" s="11" customFormat="1" ht="15" x14ac:dyDescent="0.25">
      <c r="A27" s="6">
        <v>2</v>
      </c>
      <c r="B27" s="126" t="s">
        <v>405</v>
      </c>
      <c r="C27" s="73"/>
      <c r="D27" s="6">
        <v>14</v>
      </c>
      <c r="E27" s="6"/>
      <c r="F27" s="6">
        <v>1</v>
      </c>
      <c r="G27" s="6">
        <v>2</v>
      </c>
      <c r="H27" s="6">
        <v>2</v>
      </c>
      <c r="I27" s="6">
        <v>4</v>
      </c>
      <c r="J27" s="16">
        <v>85000</v>
      </c>
      <c r="K27" s="16">
        <f>I27*J27</f>
        <v>340000</v>
      </c>
      <c r="L27" s="16">
        <f t="shared" si="6"/>
        <v>4080000</v>
      </c>
      <c r="M27" s="16">
        <v>69000</v>
      </c>
      <c r="N27" s="16">
        <f t="shared" si="7"/>
        <v>828000</v>
      </c>
      <c r="O27" s="16">
        <f t="shared" si="8"/>
        <v>4908000</v>
      </c>
      <c r="P27" s="171"/>
    </row>
    <row r="28" spans="1:18" s="65" customFormat="1" ht="30" x14ac:dyDescent="0.25">
      <c r="A28" s="6">
        <v>3</v>
      </c>
      <c r="B28" s="72" t="s">
        <v>20</v>
      </c>
      <c r="C28" s="60" t="s">
        <v>211</v>
      </c>
      <c r="D28" s="6">
        <v>15</v>
      </c>
      <c r="E28" s="60" t="s">
        <v>92</v>
      </c>
      <c r="F28" s="60">
        <v>2</v>
      </c>
      <c r="G28" s="60">
        <v>4</v>
      </c>
      <c r="H28" s="60">
        <v>2</v>
      </c>
      <c r="I28" s="60">
        <f t="shared" si="5"/>
        <v>8</v>
      </c>
      <c r="J28" s="61">
        <v>85000</v>
      </c>
      <c r="K28" s="61">
        <f>I28*J28</f>
        <v>680000</v>
      </c>
      <c r="L28" s="61">
        <f t="shared" si="6"/>
        <v>8160000</v>
      </c>
      <c r="M28" s="61">
        <v>69000</v>
      </c>
      <c r="N28" s="61">
        <f t="shared" si="7"/>
        <v>828000</v>
      </c>
      <c r="O28" s="61">
        <f t="shared" si="8"/>
        <v>8988000</v>
      </c>
      <c r="P28" s="171"/>
    </row>
    <row r="29" spans="1:18" s="11" customFormat="1" ht="38.25" customHeight="1" x14ac:dyDescent="0.25">
      <c r="A29" s="6">
        <v>4</v>
      </c>
      <c r="B29" s="126" t="s">
        <v>294</v>
      </c>
      <c r="C29" s="6"/>
      <c r="D29" s="6">
        <v>16</v>
      </c>
      <c r="E29" s="6" t="s">
        <v>21</v>
      </c>
      <c r="F29" s="6">
        <v>1</v>
      </c>
      <c r="G29" s="6">
        <v>2</v>
      </c>
      <c r="H29" s="6">
        <v>2</v>
      </c>
      <c r="I29" s="6">
        <f t="shared" si="5"/>
        <v>4</v>
      </c>
      <c r="J29" s="16">
        <v>85000</v>
      </c>
      <c r="K29" s="16">
        <f t="shared" si="1"/>
        <v>340000</v>
      </c>
      <c r="L29" s="16">
        <f t="shared" si="6"/>
        <v>4080000</v>
      </c>
      <c r="M29" s="16">
        <v>69000</v>
      </c>
      <c r="N29" s="16">
        <f t="shared" si="7"/>
        <v>828000</v>
      </c>
      <c r="O29" s="16">
        <f t="shared" si="8"/>
        <v>4908000</v>
      </c>
      <c r="P29" s="172"/>
    </row>
    <row r="30" spans="1:18" s="11" customFormat="1" ht="30" x14ac:dyDescent="0.25">
      <c r="A30" s="6">
        <v>5</v>
      </c>
      <c r="B30" s="126" t="s">
        <v>425</v>
      </c>
      <c r="C30" s="6" t="s">
        <v>196</v>
      </c>
      <c r="D30" s="6">
        <v>17</v>
      </c>
      <c r="E30" s="6" t="s">
        <v>14</v>
      </c>
      <c r="F30" s="6">
        <v>2</v>
      </c>
      <c r="G30" s="6">
        <v>4</v>
      </c>
      <c r="H30" s="6">
        <v>2</v>
      </c>
      <c r="I30" s="6">
        <f t="shared" si="5"/>
        <v>8</v>
      </c>
      <c r="J30" s="16">
        <v>85000</v>
      </c>
      <c r="K30" s="16">
        <f t="shared" si="1"/>
        <v>680000</v>
      </c>
      <c r="L30" s="16">
        <f t="shared" si="6"/>
        <v>8160000</v>
      </c>
      <c r="M30" s="16">
        <v>69000</v>
      </c>
      <c r="N30" s="16">
        <f t="shared" si="7"/>
        <v>828000</v>
      </c>
      <c r="O30" s="16">
        <f t="shared" si="8"/>
        <v>8988000</v>
      </c>
      <c r="P30" s="14"/>
      <c r="Q30" s="18"/>
    </row>
    <row r="31" spans="1:18" s="52" customFormat="1" ht="15" x14ac:dyDescent="0.25">
      <c r="A31" s="6">
        <v>6</v>
      </c>
      <c r="B31" s="64" t="s">
        <v>393</v>
      </c>
      <c r="C31" s="60" t="s">
        <v>394</v>
      </c>
      <c r="D31" s="6">
        <v>18</v>
      </c>
      <c r="E31" s="6" t="s">
        <v>14</v>
      </c>
      <c r="F31" s="6">
        <v>2</v>
      </c>
      <c r="G31" s="6">
        <v>4</v>
      </c>
      <c r="H31" s="6">
        <v>2</v>
      </c>
      <c r="I31" s="6">
        <f t="shared" si="5"/>
        <v>8</v>
      </c>
      <c r="J31" s="16">
        <v>85000</v>
      </c>
      <c r="K31" s="16">
        <f t="shared" si="1"/>
        <v>680000</v>
      </c>
      <c r="L31" s="16">
        <f t="shared" si="6"/>
        <v>8160000</v>
      </c>
      <c r="M31" s="16">
        <v>69000</v>
      </c>
      <c r="N31" s="16">
        <f t="shared" si="7"/>
        <v>828000</v>
      </c>
      <c r="O31" s="91">
        <f t="shared" si="8"/>
        <v>8988000</v>
      </c>
      <c r="P31" s="69"/>
    </row>
    <row r="32" spans="1:18" s="65" customFormat="1" ht="30" x14ac:dyDescent="0.25">
      <c r="A32" s="6">
        <v>7</v>
      </c>
      <c r="B32" s="163" t="s">
        <v>22</v>
      </c>
      <c r="C32" s="191" t="s">
        <v>352</v>
      </c>
      <c r="D32" s="6">
        <v>19</v>
      </c>
      <c r="E32" s="60" t="s">
        <v>14</v>
      </c>
      <c r="F32" s="60">
        <v>2</v>
      </c>
      <c r="G32" s="60">
        <v>4</v>
      </c>
      <c r="H32" s="60">
        <v>2</v>
      </c>
      <c r="I32" s="60">
        <f t="shared" si="5"/>
        <v>8</v>
      </c>
      <c r="J32" s="61">
        <v>85000</v>
      </c>
      <c r="K32" s="61">
        <f t="shared" si="1"/>
        <v>680000</v>
      </c>
      <c r="L32" s="61">
        <f t="shared" si="6"/>
        <v>8160000</v>
      </c>
      <c r="M32" s="61">
        <v>69000</v>
      </c>
      <c r="N32" s="61">
        <f t="shared" si="7"/>
        <v>828000</v>
      </c>
      <c r="O32" s="61">
        <f t="shared" si="8"/>
        <v>8988000</v>
      </c>
      <c r="P32" s="61"/>
    </row>
    <row r="33" spans="1:17" s="11" customFormat="1" ht="15" x14ac:dyDescent="0.25">
      <c r="A33" s="6">
        <v>8</v>
      </c>
      <c r="B33" s="126" t="s">
        <v>354</v>
      </c>
      <c r="C33" s="73" t="s">
        <v>273</v>
      </c>
      <c r="D33" s="6">
        <v>20</v>
      </c>
      <c r="E33" s="6" t="s">
        <v>14</v>
      </c>
      <c r="F33" s="6">
        <v>1</v>
      </c>
      <c r="G33" s="6">
        <v>2</v>
      </c>
      <c r="H33" s="6">
        <v>2</v>
      </c>
      <c r="I33" s="6">
        <f t="shared" si="5"/>
        <v>4</v>
      </c>
      <c r="J33" s="16">
        <v>85000</v>
      </c>
      <c r="K33" s="16">
        <f t="shared" si="1"/>
        <v>340000</v>
      </c>
      <c r="L33" s="16">
        <f t="shared" si="6"/>
        <v>4080000</v>
      </c>
      <c r="M33" s="16">
        <v>69000</v>
      </c>
      <c r="N33" s="16">
        <f>M33*12</f>
        <v>828000</v>
      </c>
      <c r="O33" s="16">
        <f t="shared" si="8"/>
        <v>4908000</v>
      </c>
      <c r="P33" s="61"/>
      <c r="Q33" s="18"/>
    </row>
    <row r="34" spans="1:17" s="11" customFormat="1" ht="15" x14ac:dyDescent="0.25">
      <c r="A34" s="6">
        <v>9</v>
      </c>
      <c r="B34" s="126" t="s">
        <v>66</v>
      </c>
      <c r="C34" s="6" t="s">
        <v>232</v>
      </c>
      <c r="D34" s="6">
        <v>21</v>
      </c>
      <c r="E34" s="6"/>
      <c r="F34" s="6">
        <v>1</v>
      </c>
      <c r="G34" s="6">
        <v>2</v>
      </c>
      <c r="H34" s="6">
        <v>2</v>
      </c>
      <c r="I34" s="6">
        <f t="shared" si="5"/>
        <v>4</v>
      </c>
      <c r="J34" s="16">
        <v>85000</v>
      </c>
      <c r="K34" s="16">
        <f t="shared" si="1"/>
        <v>340000</v>
      </c>
      <c r="L34" s="16">
        <f t="shared" si="6"/>
        <v>4080000</v>
      </c>
      <c r="M34" s="16"/>
      <c r="N34" s="16"/>
      <c r="O34" s="16">
        <f t="shared" si="8"/>
        <v>4080000</v>
      </c>
      <c r="P34" s="61">
        <v>4080000</v>
      </c>
      <c r="Q34" s="18"/>
    </row>
    <row r="35" spans="1:17" s="11" customFormat="1" ht="30" x14ac:dyDescent="0.25">
      <c r="A35" s="6">
        <v>10</v>
      </c>
      <c r="B35" s="72" t="s">
        <v>23</v>
      </c>
      <c r="C35" s="6" t="s">
        <v>193</v>
      </c>
      <c r="D35" s="6">
        <v>22</v>
      </c>
      <c r="E35" s="6" t="s">
        <v>14</v>
      </c>
      <c r="F35" s="6">
        <v>2</v>
      </c>
      <c r="G35" s="6">
        <v>4</v>
      </c>
      <c r="H35" s="6">
        <v>2</v>
      </c>
      <c r="I35" s="6">
        <f t="shared" si="5"/>
        <v>8</v>
      </c>
      <c r="J35" s="16">
        <v>85000</v>
      </c>
      <c r="K35" s="16">
        <f t="shared" si="1"/>
        <v>680000</v>
      </c>
      <c r="L35" s="16">
        <f t="shared" si="6"/>
        <v>8160000</v>
      </c>
      <c r="M35" s="16">
        <v>69000</v>
      </c>
      <c r="N35" s="16">
        <f t="shared" si="7"/>
        <v>828000</v>
      </c>
      <c r="O35" s="16">
        <f t="shared" si="8"/>
        <v>8988000</v>
      </c>
      <c r="P35" s="14"/>
    </row>
    <row r="36" spans="1:17" s="11" customFormat="1" ht="15" x14ac:dyDescent="0.25">
      <c r="A36" s="6">
        <v>11</v>
      </c>
      <c r="B36" s="72" t="s">
        <v>208</v>
      </c>
      <c r="C36" s="6"/>
      <c r="D36" s="6">
        <v>23</v>
      </c>
      <c r="E36" s="6" t="s">
        <v>14</v>
      </c>
      <c r="F36" s="6">
        <v>1</v>
      </c>
      <c r="G36" s="6">
        <v>2</v>
      </c>
      <c r="H36" s="6">
        <v>2</v>
      </c>
      <c r="I36" s="6">
        <f t="shared" si="5"/>
        <v>4</v>
      </c>
      <c r="J36" s="16">
        <v>85000</v>
      </c>
      <c r="K36" s="16">
        <f t="shared" si="1"/>
        <v>340000</v>
      </c>
      <c r="L36" s="16">
        <f t="shared" si="6"/>
        <v>4080000</v>
      </c>
      <c r="M36" s="16">
        <v>69000</v>
      </c>
      <c r="N36" s="16">
        <f t="shared" si="7"/>
        <v>828000</v>
      </c>
      <c r="O36" s="16">
        <f t="shared" si="8"/>
        <v>4908000</v>
      </c>
      <c r="P36" s="82"/>
    </row>
    <row r="37" spans="1:17" s="11" customFormat="1" ht="30" x14ac:dyDescent="0.25">
      <c r="A37" s="6">
        <v>12</v>
      </c>
      <c r="B37" s="104" t="s">
        <v>301</v>
      </c>
      <c r="C37" s="89" t="s">
        <v>302</v>
      </c>
      <c r="D37" s="6">
        <v>24</v>
      </c>
      <c r="E37" s="6" t="s">
        <v>78</v>
      </c>
      <c r="F37" s="6">
        <v>1</v>
      </c>
      <c r="G37" s="60">
        <v>2</v>
      </c>
      <c r="H37" s="60">
        <v>2</v>
      </c>
      <c r="I37" s="60">
        <f>G37*H37</f>
        <v>4</v>
      </c>
      <c r="J37" s="61">
        <v>85000</v>
      </c>
      <c r="K37" s="61">
        <f>I37*J37</f>
        <v>340000</v>
      </c>
      <c r="L37" s="16">
        <f>K37*12</f>
        <v>4080000</v>
      </c>
      <c r="M37" s="61">
        <v>69000</v>
      </c>
      <c r="N37" s="61">
        <f>M37*12</f>
        <v>828000</v>
      </c>
      <c r="O37" s="61">
        <f>N37+L37</f>
        <v>4908000</v>
      </c>
      <c r="P37" s="78"/>
    </row>
    <row r="38" spans="1:17" s="11" customFormat="1" ht="15" x14ac:dyDescent="0.25">
      <c r="A38" s="95"/>
      <c r="B38" s="100" t="s">
        <v>304</v>
      </c>
      <c r="C38" s="97"/>
      <c r="D38" s="97"/>
      <c r="E38" s="98"/>
      <c r="F38" s="34">
        <f>SUM(F26:F37)</f>
        <v>18</v>
      </c>
      <c r="G38" s="6"/>
      <c r="H38" s="6"/>
      <c r="I38" s="6"/>
      <c r="J38" s="16"/>
      <c r="K38" s="16">
        <f>SUM(K26:K37)</f>
        <v>6120000</v>
      </c>
      <c r="L38" s="158">
        <f>SUM(L26:L37)</f>
        <v>73440000</v>
      </c>
      <c r="M38" s="16"/>
      <c r="N38" s="158">
        <f>SUM(N26:N37)</f>
        <v>9108000</v>
      </c>
      <c r="O38" s="158">
        <f>SUM(O26:O37)</f>
        <v>82548000</v>
      </c>
      <c r="P38" s="158"/>
    </row>
    <row r="39" spans="1:17" s="11" customFormat="1" ht="15" x14ac:dyDescent="0.25">
      <c r="A39" s="287" t="s">
        <v>307</v>
      </c>
      <c r="B39" s="288"/>
      <c r="C39" s="288"/>
      <c r="D39" s="288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9"/>
    </row>
    <row r="40" spans="1:17" s="8" customFormat="1" ht="15" x14ac:dyDescent="0.25">
      <c r="A40" s="6">
        <v>1</v>
      </c>
      <c r="B40" s="85" t="s">
        <v>406</v>
      </c>
      <c r="C40" s="7" t="s">
        <v>175</v>
      </c>
      <c r="D40" s="6">
        <v>25</v>
      </c>
      <c r="E40" s="6" t="s">
        <v>100</v>
      </c>
      <c r="F40" s="6">
        <v>3</v>
      </c>
      <c r="G40" s="6">
        <f>2.16*3</f>
        <v>6.48</v>
      </c>
      <c r="H40" s="6">
        <v>2</v>
      </c>
      <c r="I40" s="6">
        <f>G40*H40</f>
        <v>12.96</v>
      </c>
      <c r="J40" s="16">
        <v>85000</v>
      </c>
      <c r="K40" s="16">
        <f t="shared" si="1"/>
        <v>1101600</v>
      </c>
      <c r="L40" s="16">
        <f>K40*12</f>
        <v>13219200</v>
      </c>
      <c r="M40" s="16">
        <v>69000</v>
      </c>
      <c r="N40" s="16">
        <f t="shared" si="7"/>
        <v>828000</v>
      </c>
      <c r="O40" s="16">
        <f>L40+N40</f>
        <v>14047200</v>
      </c>
      <c r="P40" s="56"/>
    </row>
    <row r="41" spans="1:17" s="38" customFormat="1" ht="15" x14ac:dyDescent="0.25">
      <c r="A41" s="6">
        <v>2</v>
      </c>
      <c r="B41" s="85" t="s">
        <v>24</v>
      </c>
      <c r="C41" s="7" t="s">
        <v>230</v>
      </c>
      <c r="D41" s="6">
        <v>26</v>
      </c>
      <c r="E41" s="6" t="s">
        <v>100</v>
      </c>
      <c r="F41" s="6">
        <v>1</v>
      </c>
      <c r="G41" s="6">
        <v>2.16</v>
      </c>
      <c r="H41" s="6">
        <v>2</v>
      </c>
      <c r="I41" s="6">
        <f>G41*H41</f>
        <v>4.32</v>
      </c>
      <c r="J41" s="16">
        <v>85000</v>
      </c>
      <c r="K41" s="16">
        <f t="shared" si="1"/>
        <v>367200</v>
      </c>
      <c r="L41" s="16">
        <f t="shared" si="6"/>
        <v>4406400</v>
      </c>
      <c r="M41" s="16"/>
      <c r="N41" s="16">
        <f t="shared" si="7"/>
        <v>0</v>
      </c>
      <c r="O41" s="16">
        <f>L41+N41</f>
        <v>4406400</v>
      </c>
      <c r="P41" s="27"/>
    </row>
    <row r="42" spans="1:17" s="53" customFormat="1" ht="15" x14ac:dyDescent="0.25">
      <c r="A42" s="6">
        <v>3</v>
      </c>
      <c r="B42" s="85" t="s">
        <v>247</v>
      </c>
      <c r="C42" s="7" t="s">
        <v>288</v>
      </c>
      <c r="D42" s="6">
        <v>27</v>
      </c>
      <c r="E42" s="6" t="s">
        <v>248</v>
      </c>
      <c r="F42" s="6">
        <v>2</v>
      </c>
      <c r="G42" s="6">
        <v>4.32</v>
      </c>
      <c r="H42" s="6">
        <v>2</v>
      </c>
      <c r="I42" s="6">
        <f>G42*H42</f>
        <v>8.64</v>
      </c>
      <c r="J42" s="16">
        <v>85000</v>
      </c>
      <c r="K42" s="16">
        <f>I42*J42</f>
        <v>734400</v>
      </c>
      <c r="L42" s="16">
        <f>K42*12</f>
        <v>8812800</v>
      </c>
      <c r="M42" s="16">
        <v>69000</v>
      </c>
      <c r="N42" s="16">
        <f>M42*12</f>
        <v>828000</v>
      </c>
      <c r="O42" s="16">
        <f>L42+N42</f>
        <v>9640800</v>
      </c>
      <c r="P42" s="27"/>
    </row>
    <row r="43" spans="1:17" s="53" customFormat="1" ht="15" x14ac:dyDescent="0.25">
      <c r="A43" s="6"/>
      <c r="B43" s="101" t="s">
        <v>304</v>
      </c>
      <c r="C43" s="7"/>
      <c r="D43" s="6"/>
      <c r="E43" s="6"/>
      <c r="F43" s="34">
        <f>SUM(F40:F42)</f>
        <v>6</v>
      </c>
      <c r="G43" s="6"/>
      <c r="H43" s="6"/>
      <c r="I43" s="6"/>
      <c r="J43" s="16"/>
      <c r="K43" s="16">
        <f>SUM(K40:K42)</f>
        <v>2203200</v>
      </c>
      <c r="L43" s="17">
        <f>SUM(L40:L42)</f>
        <v>26438400</v>
      </c>
      <c r="M43" s="16"/>
      <c r="N43" s="17">
        <f>SUM(N40:N42)</f>
        <v>1656000</v>
      </c>
      <c r="O43" s="17">
        <f>SUM(O40:O42)</f>
        <v>28094400</v>
      </c>
      <c r="P43" s="27"/>
    </row>
    <row r="44" spans="1:17" s="11" customFormat="1" ht="15" x14ac:dyDescent="0.25">
      <c r="A44" s="264" t="s">
        <v>308</v>
      </c>
      <c r="B44" s="265"/>
      <c r="C44" s="265"/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6"/>
    </row>
    <row r="45" spans="1:17" s="12" customFormat="1" ht="30" x14ac:dyDescent="0.25">
      <c r="A45" s="6">
        <v>1</v>
      </c>
      <c r="B45" s="72" t="s">
        <v>26</v>
      </c>
      <c r="C45" s="6" t="s">
        <v>331</v>
      </c>
      <c r="D45" s="6">
        <v>28</v>
      </c>
      <c r="E45" s="6" t="s">
        <v>37</v>
      </c>
      <c r="F45" s="6">
        <v>1</v>
      </c>
      <c r="G45" s="6">
        <v>1.5</v>
      </c>
      <c r="H45" s="6">
        <v>2</v>
      </c>
      <c r="I45" s="6">
        <f>G45*H45</f>
        <v>3</v>
      </c>
      <c r="J45" s="16">
        <v>68000</v>
      </c>
      <c r="K45" s="16">
        <f t="shared" si="1"/>
        <v>204000</v>
      </c>
      <c r="L45" s="16">
        <f t="shared" si="6"/>
        <v>2448000</v>
      </c>
      <c r="M45" s="16">
        <v>69000</v>
      </c>
      <c r="N45" s="16">
        <f t="shared" si="7"/>
        <v>828000</v>
      </c>
      <c r="O45" s="16">
        <f>L45+N45</f>
        <v>3276000</v>
      </c>
      <c r="P45" s="14"/>
    </row>
    <row r="46" spans="1:17" s="12" customFormat="1" ht="15" x14ac:dyDescent="0.25">
      <c r="A46" s="6">
        <v>2</v>
      </c>
      <c r="B46" s="72" t="s">
        <v>27</v>
      </c>
      <c r="C46" s="6" t="s">
        <v>216</v>
      </c>
      <c r="D46" s="6">
        <v>29</v>
      </c>
      <c r="E46" s="6" t="s">
        <v>37</v>
      </c>
      <c r="F46" s="6">
        <v>1</v>
      </c>
      <c r="G46" s="6">
        <v>1.5</v>
      </c>
      <c r="H46" s="6">
        <v>2</v>
      </c>
      <c r="I46" s="6">
        <f>G46*H46</f>
        <v>3</v>
      </c>
      <c r="J46" s="16">
        <v>68000</v>
      </c>
      <c r="K46" s="16">
        <f t="shared" si="1"/>
        <v>204000</v>
      </c>
      <c r="L46" s="16">
        <f t="shared" si="6"/>
        <v>2448000</v>
      </c>
      <c r="M46" s="16">
        <v>69000</v>
      </c>
      <c r="N46" s="16">
        <f t="shared" si="7"/>
        <v>828000</v>
      </c>
      <c r="O46" s="16">
        <f t="shared" ref="O46:O60" si="9">L46+N46</f>
        <v>3276000</v>
      </c>
      <c r="P46" s="14"/>
    </row>
    <row r="47" spans="1:17" s="12" customFormat="1" ht="15" x14ac:dyDescent="0.25">
      <c r="A47" s="6">
        <v>3</v>
      </c>
      <c r="B47" s="72" t="s">
        <v>28</v>
      </c>
      <c r="C47" s="6" t="s">
        <v>176</v>
      </c>
      <c r="D47" s="6">
        <v>30</v>
      </c>
      <c r="E47" s="6" t="s">
        <v>37</v>
      </c>
      <c r="F47" s="6">
        <v>2</v>
      </c>
      <c r="G47" s="6">
        <v>3</v>
      </c>
      <c r="H47" s="6">
        <v>2</v>
      </c>
      <c r="I47" s="6">
        <f>G47*H47</f>
        <v>6</v>
      </c>
      <c r="J47" s="16">
        <v>68000</v>
      </c>
      <c r="K47" s="16">
        <f t="shared" si="1"/>
        <v>408000</v>
      </c>
      <c r="L47" s="16">
        <f t="shared" si="6"/>
        <v>4896000</v>
      </c>
      <c r="M47" s="16">
        <v>69000</v>
      </c>
      <c r="N47" s="16">
        <f t="shared" si="7"/>
        <v>828000</v>
      </c>
      <c r="O47" s="16">
        <f t="shared" si="9"/>
        <v>5724000</v>
      </c>
      <c r="P47" s="14"/>
    </row>
    <row r="48" spans="1:17" s="12" customFormat="1" ht="15" x14ac:dyDescent="0.25">
      <c r="A48" s="6">
        <v>4</v>
      </c>
      <c r="B48" s="72" t="s">
        <v>29</v>
      </c>
      <c r="C48" s="6" t="s">
        <v>172</v>
      </c>
      <c r="D48" s="6">
        <v>31</v>
      </c>
      <c r="E48" s="6" t="s">
        <v>37</v>
      </c>
      <c r="F48" s="6">
        <v>2</v>
      </c>
      <c r="G48" s="6">
        <v>3</v>
      </c>
      <c r="H48" s="6">
        <v>2</v>
      </c>
      <c r="I48" s="6">
        <f>G48*H48</f>
        <v>6</v>
      </c>
      <c r="J48" s="16">
        <v>68000</v>
      </c>
      <c r="K48" s="16">
        <f t="shared" si="1"/>
        <v>408000</v>
      </c>
      <c r="L48" s="16">
        <f t="shared" si="6"/>
        <v>4896000</v>
      </c>
      <c r="M48" s="16">
        <v>69000</v>
      </c>
      <c r="N48" s="16">
        <f t="shared" si="7"/>
        <v>828000</v>
      </c>
      <c r="O48" s="16">
        <f t="shared" si="9"/>
        <v>5724000</v>
      </c>
      <c r="P48" s="14"/>
    </row>
    <row r="49" spans="1:16" s="12" customFormat="1" ht="30" x14ac:dyDescent="0.25">
      <c r="A49" s="6">
        <v>5</v>
      </c>
      <c r="B49" s="72" t="s">
        <v>30</v>
      </c>
      <c r="C49" s="6" t="s">
        <v>200</v>
      </c>
      <c r="D49" s="6">
        <v>32</v>
      </c>
      <c r="E49" s="6" t="s">
        <v>37</v>
      </c>
      <c r="F49" s="6">
        <v>1</v>
      </c>
      <c r="G49" s="6">
        <v>1.5</v>
      </c>
      <c r="H49" s="6">
        <v>2</v>
      </c>
      <c r="I49" s="6">
        <f t="shared" ref="I49:I60" si="10">G49*H49</f>
        <v>3</v>
      </c>
      <c r="J49" s="16">
        <v>68000</v>
      </c>
      <c r="K49" s="16">
        <f t="shared" si="1"/>
        <v>204000</v>
      </c>
      <c r="L49" s="16">
        <f t="shared" si="6"/>
        <v>2448000</v>
      </c>
      <c r="M49" s="16">
        <v>69000</v>
      </c>
      <c r="N49" s="16">
        <f t="shared" si="7"/>
        <v>828000</v>
      </c>
      <c r="O49" s="16">
        <f t="shared" si="9"/>
        <v>3276000</v>
      </c>
      <c r="P49" s="14"/>
    </row>
    <row r="50" spans="1:16" s="12" customFormat="1" ht="15" x14ac:dyDescent="0.25">
      <c r="A50" s="6">
        <v>6</v>
      </c>
      <c r="B50" s="72" t="s">
        <v>31</v>
      </c>
      <c r="C50" s="6" t="s">
        <v>189</v>
      </c>
      <c r="D50" s="6">
        <v>33</v>
      </c>
      <c r="E50" s="6" t="s">
        <v>37</v>
      </c>
      <c r="F50" s="6">
        <v>2</v>
      </c>
      <c r="G50" s="6">
        <v>3</v>
      </c>
      <c r="H50" s="6">
        <v>2</v>
      </c>
      <c r="I50" s="6">
        <f t="shared" si="10"/>
        <v>6</v>
      </c>
      <c r="J50" s="16">
        <v>68000</v>
      </c>
      <c r="K50" s="16">
        <f t="shared" si="1"/>
        <v>408000</v>
      </c>
      <c r="L50" s="16">
        <f t="shared" si="6"/>
        <v>4896000</v>
      </c>
      <c r="M50" s="16">
        <v>69000</v>
      </c>
      <c r="N50" s="16">
        <f t="shared" si="7"/>
        <v>828000</v>
      </c>
      <c r="O50" s="16">
        <f t="shared" si="9"/>
        <v>5724000</v>
      </c>
      <c r="P50" s="14"/>
    </row>
    <row r="51" spans="1:16" s="218" customFormat="1" ht="30" x14ac:dyDescent="0.25">
      <c r="A51" s="214">
        <v>7</v>
      </c>
      <c r="B51" s="215" t="s">
        <v>201</v>
      </c>
      <c r="C51" s="214" t="s">
        <v>202</v>
      </c>
      <c r="D51" s="214">
        <v>34</v>
      </c>
      <c r="E51" s="214" t="s">
        <v>37</v>
      </c>
      <c r="F51" s="214">
        <v>1</v>
      </c>
      <c r="G51" s="214">
        <v>1.5</v>
      </c>
      <c r="H51" s="214">
        <v>2</v>
      </c>
      <c r="I51" s="214">
        <f t="shared" si="10"/>
        <v>3</v>
      </c>
      <c r="J51" s="216">
        <v>68000</v>
      </c>
      <c r="K51" s="216">
        <f t="shared" si="1"/>
        <v>204000</v>
      </c>
      <c r="L51" s="216">
        <f t="shared" si="6"/>
        <v>2448000</v>
      </c>
      <c r="M51" s="216">
        <v>69000</v>
      </c>
      <c r="N51" s="216">
        <f t="shared" si="7"/>
        <v>828000</v>
      </c>
      <c r="O51" s="216">
        <f t="shared" si="9"/>
        <v>3276000</v>
      </c>
      <c r="P51" s="217" t="s">
        <v>456</v>
      </c>
    </row>
    <row r="52" spans="1:16" s="12" customFormat="1" ht="15" x14ac:dyDescent="0.25">
      <c r="A52" s="6">
        <v>8</v>
      </c>
      <c r="B52" s="72" t="s">
        <v>293</v>
      </c>
      <c r="C52" s="6"/>
      <c r="D52" s="6">
        <v>35</v>
      </c>
      <c r="E52" s="6" t="s">
        <v>37</v>
      </c>
      <c r="F52" s="6">
        <v>1</v>
      </c>
      <c r="G52" s="6">
        <v>1.5</v>
      </c>
      <c r="H52" s="6">
        <v>2</v>
      </c>
      <c r="I52" s="6">
        <f t="shared" si="10"/>
        <v>3</v>
      </c>
      <c r="J52" s="16">
        <v>68000</v>
      </c>
      <c r="K52" s="16">
        <f t="shared" si="1"/>
        <v>204000</v>
      </c>
      <c r="L52" s="16">
        <f t="shared" si="6"/>
        <v>2448000</v>
      </c>
      <c r="M52" s="16">
        <v>69000</v>
      </c>
      <c r="N52" s="16">
        <f t="shared" si="7"/>
        <v>828000</v>
      </c>
      <c r="O52" s="16">
        <f t="shared" si="9"/>
        <v>3276000</v>
      </c>
      <c r="P52" s="14"/>
    </row>
    <row r="53" spans="1:16" s="12" customFormat="1" ht="15" x14ac:dyDescent="0.25">
      <c r="A53" s="6">
        <v>9</v>
      </c>
      <c r="B53" s="72" t="s">
        <v>33</v>
      </c>
      <c r="C53" s="6" t="s">
        <v>203</v>
      </c>
      <c r="D53" s="6">
        <v>36</v>
      </c>
      <c r="E53" s="6" t="s">
        <v>37</v>
      </c>
      <c r="F53" s="6">
        <v>1</v>
      </c>
      <c r="G53" s="6">
        <v>1.5</v>
      </c>
      <c r="H53" s="6">
        <v>2</v>
      </c>
      <c r="I53" s="6">
        <f t="shared" si="10"/>
        <v>3</v>
      </c>
      <c r="J53" s="16">
        <v>68000</v>
      </c>
      <c r="K53" s="16">
        <f t="shared" si="1"/>
        <v>204000</v>
      </c>
      <c r="L53" s="16">
        <f t="shared" si="6"/>
        <v>2448000</v>
      </c>
      <c r="M53" s="16"/>
      <c r="N53" s="16"/>
      <c r="O53" s="16">
        <f t="shared" si="9"/>
        <v>2448000</v>
      </c>
      <c r="P53" s="14"/>
    </row>
    <row r="54" spans="1:16" s="12" customFormat="1" ht="15" x14ac:dyDescent="0.25">
      <c r="A54" s="6">
        <v>10</v>
      </c>
      <c r="B54" s="126" t="s">
        <v>34</v>
      </c>
      <c r="C54" s="73" t="s">
        <v>148</v>
      </c>
      <c r="D54" s="6">
        <v>37</v>
      </c>
      <c r="E54" s="6" t="s">
        <v>37</v>
      </c>
      <c r="F54" s="6">
        <v>3</v>
      </c>
      <c r="G54" s="6">
        <v>4.5</v>
      </c>
      <c r="H54" s="6">
        <v>2</v>
      </c>
      <c r="I54" s="6">
        <f t="shared" si="10"/>
        <v>9</v>
      </c>
      <c r="J54" s="16">
        <v>68000</v>
      </c>
      <c r="K54" s="16">
        <f t="shared" si="1"/>
        <v>612000</v>
      </c>
      <c r="L54" s="16">
        <f>K54*12</f>
        <v>7344000</v>
      </c>
      <c r="M54" s="16">
        <v>69000</v>
      </c>
      <c r="N54" s="16">
        <f t="shared" si="7"/>
        <v>828000</v>
      </c>
      <c r="O54" s="16">
        <f>L54+N54</f>
        <v>8172000</v>
      </c>
    </row>
    <row r="55" spans="1:16" s="12" customFormat="1" ht="15" x14ac:dyDescent="0.25">
      <c r="A55" s="6">
        <v>11</v>
      </c>
      <c r="B55" s="126" t="s">
        <v>35</v>
      </c>
      <c r="C55" s="73" t="s">
        <v>215</v>
      </c>
      <c r="D55" s="6">
        <v>38</v>
      </c>
      <c r="E55" s="6" t="s">
        <v>37</v>
      </c>
      <c r="F55" s="6">
        <v>2</v>
      </c>
      <c r="G55" s="6">
        <v>3</v>
      </c>
      <c r="H55" s="6">
        <v>2</v>
      </c>
      <c r="I55" s="6">
        <f t="shared" si="10"/>
        <v>6</v>
      </c>
      <c r="J55" s="16">
        <v>68000</v>
      </c>
      <c r="K55" s="16">
        <f t="shared" si="1"/>
        <v>408000</v>
      </c>
      <c r="L55" s="16">
        <f t="shared" si="6"/>
        <v>4896000</v>
      </c>
      <c r="M55" s="16">
        <v>69000</v>
      </c>
      <c r="N55" s="16">
        <f t="shared" si="7"/>
        <v>828000</v>
      </c>
      <c r="O55" s="16">
        <f t="shared" si="9"/>
        <v>5724000</v>
      </c>
      <c r="P55" s="14"/>
    </row>
    <row r="56" spans="1:16" s="12" customFormat="1" ht="30" x14ac:dyDescent="0.25">
      <c r="A56" s="6">
        <v>12</v>
      </c>
      <c r="B56" s="72" t="s">
        <v>322</v>
      </c>
      <c r="C56" s="6" t="s">
        <v>207</v>
      </c>
      <c r="D56" s="6">
        <v>39</v>
      </c>
      <c r="E56" s="6" t="s">
        <v>37</v>
      </c>
      <c r="F56" s="6">
        <v>2</v>
      </c>
      <c r="G56" s="6">
        <f>1.5*2</f>
        <v>3</v>
      </c>
      <c r="H56" s="6">
        <v>2</v>
      </c>
      <c r="I56" s="6">
        <f t="shared" si="10"/>
        <v>6</v>
      </c>
      <c r="J56" s="16">
        <v>68000</v>
      </c>
      <c r="K56" s="16">
        <f t="shared" si="1"/>
        <v>408000</v>
      </c>
      <c r="L56" s="16">
        <f t="shared" si="6"/>
        <v>4896000</v>
      </c>
      <c r="M56" s="16">
        <v>69000</v>
      </c>
      <c r="N56" s="16">
        <f t="shared" si="7"/>
        <v>828000</v>
      </c>
      <c r="O56" s="16">
        <f>L56+N56</f>
        <v>5724000</v>
      </c>
      <c r="P56" s="14"/>
    </row>
    <row r="57" spans="1:16" s="22" customFormat="1" ht="15" x14ac:dyDescent="0.25">
      <c r="A57" s="6">
        <v>13</v>
      </c>
      <c r="B57" s="72" t="s">
        <v>166</v>
      </c>
      <c r="C57" s="6" t="s">
        <v>167</v>
      </c>
      <c r="D57" s="6">
        <v>40</v>
      </c>
      <c r="E57" s="6" t="s">
        <v>37</v>
      </c>
      <c r="F57" s="6">
        <v>2</v>
      </c>
      <c r="G57" s="6">
        <v>3</v>
      </c>
      <c r="H57" s="6">
        <v>2</v>
      </c>
      <c r="I57" s="6">
        <f t="shared" si="10"/>
        <v>6</v>
      </c>
      <c r="J57" s="16">
        <v>68000</v>
      </c>
      <c r="K57" s="16">
        <f>I57*J57</f>
        <v>408000</v>
      </c>
      <c r="L57" s="16">
        <f t="shared" si="6"/>
        <v>4896000</v>
      </c>
      <c r="M57" s="16">
        <v>69000</v>
      </c>
      <c r="N57" s="16">
        <f t="shared" si="7"/>
        <v>828000</v>
      </c>
      <c r="O57" s="16">
        <f t="shared" si="9"/>
        <v>5724000</v>
      </c>
      <c r="P57" s="14"/>
    </row>
    <row r="58" spans="1:16" s="12" customFormat="1" ht="15" x14ac:dyDescent="0.25">
      <c r="A58" s="6">
        <v>14</v>
      </c>
      <c r="B58" s="72" t="s">
        <v>291</v>
      </c>
      <c r="C58" s="6" t="s">
        <v>292</v>
      </c>
      <c r="D58" s="6">
        <v>41</v>
      </c>
      <c r="E58" s="6" t="s">
        <v>37</v>
      </c>
      <c r="F58" s="6">
        <v>1</v>
      </c>
      <c r="G58" s="6">
        <v>1.5</v>
      </c>
      <c r="H58" s="6">
        <v>2</v>
      </c>
      <c r="I58" s="6">
        <f t="shared" si="10"/>
        <v>3</v>
      </c>
      <c r="J58" s="16">
        <v>68000</v>
      </c>
      <c r="K58" s="16">
        <f t="shared" si="1"/>
        <v>204000</v>
      </c>
      <c r="L58" s="16">
        <f t="shared" si="6"/>
        <v>2448000</v>
      </c>
      <c r="M58" s="16">
        <v>69000</v>
      </c>
      <c r="N58" s="16">
        <v>828000</v>
      </c>
      <c r="O58" s="16">
        <f t="shared" si="9"/>
        <v>3276000</v>
      </c>
      <c r="P58" s="14"/>
    </row>
    <row r="59" spans="1:16" s="12" customFormat="1" ht="15" x14ac:dyDescent="0.25">
      <c r="A59" s="6">
        <v>15</v>
      </c>
      <c r="B59" s="72" t="s">
        <v>36</v>
      </c>
      <c r="C59" s="6" t="s">
        <v>150</v>
      </c>
      <c r="D59" s="6">
        <v>42</v>
      </c>
      <c r="E59" s="6" t="s">
        <v>37</v>
      </c>
      <c r="F59" s="6">
        <v>1</v>
      </c>
      <c r="G59" s="6">
        <v>1.5</v>
      </c>
      <c r="H59" s="6">
        <v>2</v>
      </c>
      <c r="I59" s="6">
        <f t="shared" si="10"/>
        <v>3</v>
      </c>
      <c r="J59" s="16">
        <v>68000</v>
      </c>
      <c r="K59" s="16">
        <f t="shared" si="1"/>
        <v>204000</v>
      </c>
      <c r="L59" s="16">
        <f t="shared" si="6"/>
        <v>2448000</v>
      </c>
      <c r="M59" s="91">
        <v>69000</v>
      </c>
      <c r="N59" s="91">
        <f t="shared" si="7"/>
        <v>828000</v>
      </c>
      <c r="O59" s="16">
        <f t="shared" si="9"/>
        <v>3276000</v>
      </c>
      <c r="P59" s="14"/>
    </row>
    <row r="60" spans="1:16" s="12" customFormat="1" ht="15" x14ac:dyDescent="0.25">
      <c r="A60" s="6">
        <v>16</v>
      </c>
      <c r="B60" s="128" t="s">
        <v>190</v>
      </c>
      <c r="C60" s="37" t="s">
        <v>191</v>
      </c>
      <c r="D60" s="6">
        <v>43</v>
      </c>
      <c r="E60" s="37" t="s">
        <v>151</v>
      </c>
      <c r="F60" s="29">
        <v>2</v>
      </c>
      <c r="G60" s="29">
        <v>3</v>
      </c>
      <c r="H60" s="29">
        <v>2</v>
      </c>
      <c r="I60" s="29">
        <f t="shared" si="10"/>
        <v>6</v>
      </c>
      <c r="J60" s="16">
        <v>68000</v>
      </c>
      <c r="K60" s="16">
        <f t="shared" si="1"/>
        <v>408000</v>
      </c>
      <c r="L60" s="16">
        <f t="shared" si="6"/>
        <v>4896000</v>
      </c>
      <c r="M60" s="16">
        <v>69000</v>
      </c>
      <c r="N60" s="16">
        <f t="shared" si="7"/>
        <v>828000</v>
      </c>
      <c r="O60" s="16">
        <f t="shared" si="9"/>
        <v>5724000</v>
      </c>
      <c r="P60" s="14"/>
    </row>
    <row r="61" spans="1:16" s="51" customFormat="1" ht="15" x14ac:dyDescent="0.25">
      <c r="A61" s="6">
        <v>17</v>
      </c>
      <c r="B61" s="86" t="s">
        <v>287</v>
      </c>
      <c r="C61" s="37" t="s">
        <v>264</v>
      </c>
      <c r="D61" s="6">
        <v>44</v>
      </c>
      <c r="E61" s="37" t="s">
        <v>151</v>
      </c>
      <c r="F61" s="29">
        <v>1</v>
      </c>
      <c r="G61" s="80">
        <v>1.5</v>
      </c>
      <c r="H61" s="29">
        <v>2</v>
      </c>
      <c r="I61" s="29">
        <f>G61*H61</f>
        <v>3</v>
      </c>
      <c r="J61" s="16">
        <v>68000</v>
      </c>
      <c r="K61" s="16">
        <f>I61*J61</f>
        <v>204000</v>
      </c>
      <c r="L61" s="16">
        <f>K61*12</f>
        <v>2448000</v>
      </c>
      <c r="M61" s="16">
        <v>69000</v>
      </c>
      <c r="N61" s="16">
        <f>M61*12</f>
        <v>828000</v>
      </c>
      <c r="O61" s="16">
        <f>L61+N61</f>
        <v>3276000</v>
      </c>
      <c r="P61" s="27"/>
    </row>
    <row r="62" spans="1:16" s="51" customFormat="1" ht="15" x14ac:dyDescent="0.25">
      <c r="A62" s="6">
        <v>18</v>
      </c>
      <c r="B62" s="86" t="s">
        <v>407</v>
      </c>
      <c r="C62" s="37" t="s">
        <v>162</v>
      </c>
      <c r="D62" s="6">
        <v>45</v>
      </c>
      <c r="E62" s="37" t="s">
        <v>151</v>
      </c>
      <c r="F62" s="29">
        <v>1</v>
      </c>
      <c r="G62" s="80">
        <v>1.5</v>
      </c>
      <c r="H62" s="29">
        <v>2</v>
      </c>
      <c r="I62" s="29">
        <f>G62*H62</f>
        <v>3</v>
      </c>
      <c r="J62" s="16">
        <v>68000</v>
      </c>
      <c r="K62" s="16">
        <f>I62*J62</f>
        <v>204000</v>
      </c>
      <c r="L62" s="16">
        <f>K62*12</f>
        <v>2448000</v>
      </c>
      <c r="M62" s="16">
        <v>69000</v>
      </c>
      <c r="N62" s="16">
        <f>M62*12</f>
        <v>828000</v>
      </c>
      <c r="O62" s="16">
        <f>L62+N62</f>
        <v>3276000</v>
      </c>
      <c r="P62" s="14"/>
    </row>
    <row r="63" spans="1:16" s="51" customFormat="1" ht="15" x14ac:dyDescent="0.25">
      <c r="A63" s="6"/>
      <c r="B63" s="102" t="s">
        <v>304</v>
      </c>
      <c r="C63" s="37"/>
      <c r="D63" s="81"/>
      <c r="E63" s="37"/>
      <c r="F63" s="105">
        <f>SUM(F45:F62)</f>
        <v>27</v>
      </c>
      <c r="G63" s="80"/>
      <c r="H63" s="29"/>
      <c r="I63" s="29"/>
      <c r="J63" s="16"/>
      <c r="K63" s="16">
        <f>SUM(K45:K62)</f>
        <v>5508000</v>
      </c>
      <c r="L63" s="105">
        <f>SUM(L45:L62)</f>
        <v>66096000</v>
      </c>
      <c r="M63" s="16"/>
      <c r="N63" s="105">
        <f>SUM(N45:N62)</f>
        <v>14076000</v>
      </c>
      <c r="O63" s="105">
        <f>SUM(O45:O62)</f>
        <v>80172000</v>
      </c>
      <c r="P63" s="16"/>
    </row>
    <row r="64" spans="1:16" s="11" customFormat="1" ht="15" x14ac:dyDescent="0.25">
      <c r="A64" s="264" t="s">
        <v>309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</row>
    <row r="65" spans="1:17" s="12" customFormat="1" ht="15" x14ac:dyDescent="0.25">
      <c r="A65" s="6">
        <v>1</v>
      </c>
      <c r="B65" s="192" t="s">
        <v>402</v>
      </c>
      <c r="C65" s="124" t="s">
        <v>188</v>
      </c>
      <c r="D65" s="124">
        <v>46</v>
      </c>
      <c r="E65" s="124" t="s">
        <v>38</v>
      </c>
      <c r="F65" s="124">
        <v>2</v>
      </c>
      <c r="G65" s="124">
        <f>1.5*2</f>
        <v>3</v>
      </c>
      <c r="H65" s="124">
        <v>2</v>
      </c>
      <c r="I65" s="124">
        <f>G65*H65</f>
        <v>6</v>
      </c>
      <c r="J65" s="186">
        <v>68000</v>
      </c>
      <c r="K65" s="186">
        <f t="shared" ref="K65:K88" si="11">I65*J65</f>
        <v>408000</v>
      </c>
      <c r="L65" s="186">
        <f t="shared" ref="L65:L87" si="12">K65*12</f>
        <v>4896000</v>
      </c>
      <c r="M65" s="186">
        <v>69000</v>
      </c>
      <c r="N65" s="186">
        <f t="shared" ref="N65:N87" si="13">M65*12</f>
        <v>828000</v>
      </c>
      <c r="O65" s="186">
        <f>L65+N65</f>
        <v>5724000</v>
      </c>
      <c r="P65" s="230"/>
    </row>
    <row r="66" spans="1:17" s="22" customFormat="1" ht="30" x14ac:dyDescent="0.25">
      <c r="A66" s="6">
        <v>2</v>
      </c>
      <c r="B66" s="192" t="s">
        <v>108</v>
      </c>
      <c r="C66" s="124" t="s">
        <v>114</v>
      </c>
      <c r="D66" s="124">
        <v>47</v>
      </c>
      <c r="E66" s="124" t="s">
        <v>49</v>
      </c>
      <c r="F66" s="124">
        <v>2</v>
      </c>
      <c r="G66" s="124">
        <v>3</v>
      </c>
      <c r="H66" s="124">
        <v>2</v>
      </c>
      <c r="I66" s="124">
        <f t="shared" ref="I66:I87" si="14">G66*H66</f>
        <v>6</v>
      </c>
      <c r="J66" s="186">
        <v>68000</v>
      </c>
      <c r="K66" s="186">
        <f t="shared" si="11"/>
        <v>408000</v>
      </c>
      <c r="L66" s="186">
        <f t="shared" si="12"/>
        <v>4896000</v>
      </c>
      <c r="M66" s="186">
        <v>69000</v>
      </c>
      <c r="N66" s="186">
        <f t="shared" si="13"/>
        <v>828000</v>
      </c>
      <c r="O66" s="186">
        <f t="shared" ref="O66:O88" si="15">L66+N66</f>
        <v>5724000</v>
      </c>
      <c r="P66" s="230">
        <f>O66</f>
        <v>5724000</v>
      </c>
    </row>
    <row r="67" spans="1:17" s="51" customFormat="1" ht="30" x14ac:dyDescent="0.25">
      <c r="A67" s="6">
        <v>3</v>
      </c>
      <c r="B67" s="192" t="s">
        <v>349</v>
      </c>
      <c r="C67" s="124" t="s">
        <v>105</v>
      </c>
      <c r="D67" s="124">
        <v>48</v>
      </c>
      <c r="E67" s="124" t="s">
        <v>49</v>
      </c>
      <c r="F67" s="124">
        <v>1</v>
      </c>
      <c r="G67" s="124">
        <v>1.5</v>
      </c>
      <c r="H67" s="124">
        <v>2</v>
      </c>
      <c r="I67" s="124">
        <f t="shared" si="14"/>
        <v>3</v>
      </c>
      <c r="J67" s="186">
        <v>68000</v>
      </c>
      <c r="K67" s="186">
        <f t="shared" si="11"/>
        <v>204000</v>
      </c>
      <c r="L67" s="186">
        <f t="shared" si="12"/>
        <v>2448000</v>
      </c>
      <c r="M67" s="186">
        <v>69000</v>
      </c>
      <c r="N67" s="186">
        <f t="shared" si="13"/>
        <v>828000</v>
      </c>
      <c r="O67" s="186">
        <f t="shared" si="15"/>
        <v>3276000</v>
      </c>
      <c r="P67" s="230">
        <v>3276000</v>
      </c>
      <c r="Q67" s="239">
        <v>46119</v>
      </c>
    </row>
    <row r="68" spans="1:17" s="12" customFormat="1" ht="15" x14ac:dyDescent="0.25">
      <c r="A68" s="6">
        <v>4</v>
      </c>
      <c r="B68" s="192" t="s">
        <v>486</v>
      </c>
      <c r="C68" s="124"/>
      <c r="D68" s="124">
        <v>49</v>
      </c>
      <c r="E68" s="124" t="s">
        <v>49</v>
      </c>
      <c r="F68" s="124">
        <v>1</v>
      </c>
      <c r="G68" s="124">
        <v>1.5</v>
      </c>
      <c r="H68" s="124">
        <v>2</v>
      </c>
      <c r="I68" s="124">
        <f t="shared" si="14"/>
        <v>3</v>
      </c>
      <c r="J68" s="186">
        <v>68000</v>
      </c>
      <c r="K68" s="186">
        <f t="shared" si="11"/>
        <v>204000</v>
      </c>
      <c r="L68" s="186">
        <f>K68*12</f>
        <v>2448000</v>
      </c>
      <c r="M68" s="186">
        <v>69000</v>
      </c>
      <c r="N68" s="186">
        <f>M68*12</f>
        <v>828000</v>
      </c>
      <c r="O68" s="186">
        <f t="shared" si="15"/>
        <v>3276000</v>
      </c>
      <c r="P68" s="230"/>
    </row>
    <row r="69" spans="1:17" s="12" customFormat="1" ht="30" x14ac:dyDescent="0.25">
      <c r="A69" s="6">
        <v>5</v>
      </c>
      <c r="B69" s="192" t="s">
        <v>39</v>
      </c>
      <c r="C69" s="124" t="s">
        <v>117</v>
      </c>
      <c r="D69" s="124">
        <v>50</v>
      </c>
      <c r="E69" s="124" t="s">
        <v>49</v>
      </c>
      <c r="F69" s="124">
        <v>1</v>
      </c>
      <c r="G69" s="124">
        <v>1.5</v>
      </c>
      <c r="H69" s="124">
        <v>2</v>
      </c>
      <c r="I69" s="124">
        <f t="shared" si="14"/>
        <v>3</v>
      </c>
      <c r="J69" s="186">
        <v>68000</v>
      </c>
      <c r="K69" s="186">
        <f t="shared" si="11"/>
        <v>204000</v>
      </c>
      <c r="L69" s="186">
        <f t="shared" si="12"/>
        <v>2448000</v>
      </c>
      <c r="M69" s="186">
        <v>69000</v>
      </c>
      <c r="N69" s="186">
        <f t="shared" si="13"/>
        <v>828000</v>
      </c>
      <c r="O69" s="186">
        <f t="shared" si="15"/>
        <v>3276000</v>
      </c>
      <c r="P69" s="230"/>
    </row>
    <row r="70" spans="1:17" s="12" customFormat="1" ht="30" x14ac:dyDescent="0.25">
      <c r="A70" s="6">
        <v>6</v>
      </c>
      <c r="B70" s="192" t="s">
        <v>40</v>
      </c>
      <c r="C70" s="124" t="s">
        <v>111</v>
      </c>
      <c r="D70" s="124">
        <v>51</v>
      </c>
      <c r="E70" s="124" t="s">
        <v>49</v>
      </c>
      <c r="F70" s="124">
        <v>1</v>
      </c>
      <c r="G70" s="124">
        <v>1.5</v>
      </c>
      <c r="H70" s="124">
        <v>2</v>
      </c>
      <c r="I70" s="124">
        <f t="shared" si="14"/>
        <v>3</v>
      </c>
      <c r="J70" s="186">
        <v>68000</v>
      </c>
      <c r="K70" s="186">
        <f t="shared" si="11"/>
        <v>204000</v>
      </c>
      <c r="L70" s="186">
        <f t="shared" si="12"/>
        <v>2448000</v>
      </c>
      <c r="M70" s="186">
        <v>69000</v>
      </c>
      <c r="N70" s="186">
        <f t="shared" si="13"/>
        <v>828000</v>
      </c>
      <c r="O70" s="186">
        <f t="shared" si="15"/>
        <v>3276000</v>
      </c>
      <c r="P70" s="230"/>
    </row>
    <row r="71" spans="1:17" s="12" customFormat="1" ht="15" x14ac:dyDescent="0.25">
      <c r="A71" s="6">
        <v>7</v>
      </c>
      <c r="B71" s="192" t="s">
        <v>448</v>
      </c>
      <c r="C71" s="124" t="s">
        <v>449</v>
      </c>
      <c r="D71" s="124">
        <v>52</v>
      </c>
      <c r="E71" s="124" t="s">
        <v>49</v>
      </c>
      <c r="F71" s="124">
        <v>1</v>
      </c>
      <c r="G71" s="124">
        <v>1.5</v>
      </c>
      <c r="H71" s="124">
        <v>2</v>
      </c>
      <c r="I71" s="124">
        <f t="shared" si="14"/>
        <v>3</v>
      </c>
      <c r="J71" s="186">
        <v>68000</v>
      </c>
      <c r="K71" s="186">
        <f t="shared" si="11"/>
        <v>204000</v>
      </c>
      <c r="L71" s="186">
        <f t="shared" si="12"/>
        <v>2448000</v>
      </c>
      <c r="M71" s="186">
        <v>69000</v>
      </c>
      <c r="N71" s="186">
        <f t="shared" si="13"/>
        <v>828000</v>
      </c>
      <c r="O71" s="186">
        <f t="shared" si="15"/>
        <v>3276000</v>
      </c>
      <c r="P71" s="230">
        <f>O71</f>
        <v>3276000</v>
      </c>
    </row>
    <row r="72" spans="1:17" s="12" customFormat="1" ht="15" x14ac:dyDescent="0.25">
      <c r="A72" s="6">
        <v>8</v>
      </c>
      <c r="B72" s="193" t="s">
        <v>285</v>
      </c>
      <c r="C72" s="188" t="s">
        <v>286</v>
      </c>
      <c r="D72" s="124">
        <v>53</v>
      </c>
      <c r="E72" s="188" t="s">
        <v>49</v>
      </c>
      <c r="F72" s="188">
        <v>1</v>
      </c>
      <c r="G72" s="188">
        <v>1.5</v>
      </c>
      <c r="H72" s="188">
        <v>2</v>
      </c>
      <c r="I72" s="188">
        <f t="shared" si="14"/>
        <v>3</v>
      </c>
      <c r="J72" s="194">
        <v>68000</v>
      </c>
      <c r="K72" s="194">
        <f t="shared" si="11"/>
        <v>204000</v>
      </c>
      <c r="L72" s="194">
        <f>K72*12</f>
        <v>2448000</v>
      </c>
      <c r="M72" s="194">
        <v>69000</v>
      </c>
      <c r="N72" s="194">
        <f>M72*12</f>
        <v>828000</v>
      </c>
      <c r="O72" s="194">
        <f t="shared" si="15"/>
        <v>3276000</v>
      </c>
      <c r="P72" s="230"/>
    </row>
    <row r="73" spans="1:17" s="12" customFormat="1" ht="30" x14ac:dyDescent="0.25">
      <c r="A73" s="6">
        <v>9</v>
      </c>
      <c r="B73" s="192" t="s">
        <v>325</v>
      </c>
      <c r="C73" s="124" t="s">
        <v>128</v>
      </c>
      <c r="D73" s="124">
        <v>54</v>
      </c>
      <c r="E73" s="124" t="s">
        <v>49</v>
      </c>
      <c r="F73" s="124">
        <v>1</v>
      </c>
      <c r="G73" s="124">
        <v>1.5</v>
      </c>
      <c r="H73" s="124">
        <v>2</v>
      </c>
      <c r="I73" s="124">
        <f t="shared" si="14"/>
        <v>3</v>
      </c>
      <c r="J73" s="186">
        <v>68000</v>
      </c>
      <c r="K73" s="186">
        <f t="shared" si="11"/>
        <v>204000</v>
      </c>
      <c r="L73" s="186">
        <f t="shared" si="12"/>
        <v>2448000</v>
      </c>
      <c r="M73" s="186">
        <v>69000</v>
      </c>
      <c r="N73" s="186">
        <f t="shared" si="13"/>
        <v>828000</v>
      </c>
      <c r="O73" s="186">
        <f t="shared" si="15"/>
        <v>3276000</v>
      </c>
      <c r="P73" s="230"/>
    </row>
    <row r="74" spans="1:17" s="12" customFormat="1" ht="15" x14ac:dyDescent="0.25">
      <c r="A74" s="6">
        <v>10</v>
      </c>
      <c r="B74" s="192" t="s">
        <v>408</v>
      </c>
      <c r="C74" s="124" t="s">
        <v>344</v>
      </c>
      <c r="D74" s="124">
        <v>55</v>
      </c>
      <c r="E74" s="124" t="s">
        <v>281</v>
      </c>
      <c r="F74" s="124">
        <v>1</v>
      </c>
      <c r="G74" s="124">
        <v>1.5</v>
      </c>
      <c r="H74" s="124">
        <v>2</v>
      </c>
      <c r="I74" s="124">
        <f t="shared" si="14"/>
        <v>3</v>
      </c>
      <c r="J74" s="186">
        <v>68000</v>
      </c>
      <c r="K74" s="186">
        <f t="shared" si="11"/>
        <v>204000</v>
      </c>
      <c r="L74" s="186">
        <f>K74*12</f>
        <v>2448000</v>
      </c>
      <c r="M74" s="186">
        <v>69000</v>
      </c>
      <c r="N74" s="186">
        <f>M74*12</f>
        <v>828000</v>
      </c>
      <c r="O74" s="186">
        <f t="shared" si="15"/>
        <v>3276000</v>
      </c>
      <c r="P74" s="230"/>
    </row>
    <row r="75" spans="1:17" s="12" customFormat="1" ht="30" x14ac:dyDescent="0.25">
      <c r="A75" s="6">
        <v>11</v>
      </c>
      <c r="B75" s="192" t="s">
        <v>41</v>
      </c>
      <c r="C75" s="124" t="s">
        <v>205</v>
      </c>
      <c r="D75" s="124">
        <v>56</v>
      </c>
      <c r="E75" s="124" t="s">
        <v>49</v>
      </c>
      <c r="F75" s="124">
        <v>1</v>
      </c>
      <c r="G75" s="124">
        <v>1.5</v>
      </c>
      <c r="H75" s="124">
        <v>2</v>
      </c>
      <c r="I75" s="124">
        <f t="shared" si="14"/>
        <v>3</v>
      </c>
      <c r="J75" s="186">
        <v>68000</v>
      </c>
      <c r="K75" s="186">
        <f t="shared" si="11"/>
        <v>204000</v>
      </c>
      <c r="L75" s="186">
        <f t="shared" si="12"/>
        <v>2448000</v>
      </c>
      <c r="M75" s="186">
        <v>69000</v>
      </c>
      <c r="N75" s="186">
        <f t="shared" si="13"/>
        <v>828000</v>
      </c>
      <c r="O75" s="186">
        <f t="shared" si="15"/>
        <v>3276000</v>
      </c>
      <c r="P75" s="230">
        <v>3276000</v>
      </c>
    </row>
    <row r="76" spans="1:17" s="12" customFormat="1" ht="30" x14ac:dyDescent="0.25">
      <c r="A76" s="6">
        <v>12</v>
      </c>
      <c r="B76" s="192" t="s">
        <v>42</v>
      </c>
      <c r="C76" s="124" t="s">
        <v>132</v>
      </c>
      <c r="D76" s="124">
        <v>57</v>
      </c>
      <c r="E76" s="124" t="s">
        <v>49</v>
      </c>
      <c r="F76" s="124">
        <v>1</v>
      </c>
      <c r="G76" s="124">
        <v>1.5</v>
      </c>
      <c r="H76" s="124">
        <v>2</v>
      </c>
      <c r="I76" s="124">
        <f t="shared" si="14"/>
        <v>3</v>
      </c>
      <c r="J76" s="186">
        <v>68000</v>
      </c>
      <c r="K76" s="186">
        <f t="shared" si="11"/>
        <v>204000</v>
      </c>
      <c r="L76" s="186">
        <f t="shared" si="12"/>
        <v>2448000</v>
      </c>
      <c r="M76" s="186">
        <v>69000</v>
      </c>
      <c r="N76" s="186">
        <f t="shared" si="13"/>
        <v>828000</v>
      </c>
      <c r="O76" s="186">
        <f t="shared" si="15"/>
        <v>3276000</v>
      </c>
      <c r="P76" s="230"/>
    </row>
    <row r="77" spans="1:17" s="12" customFormat="1" ht="30" x14ac:dyDescent="0.25">
      <c r="A77" s="6">
        <v>13</v>
      </c>
      <c r="B77" s="192" t="s">
        <v>432</v>
      </c>
      <c r="C77" s="124" t="s">
        <v>127</v>
      </c>
      <c r="D77" s="124">
        <v>58</v>
      </c>
      <c r="E77" s="124" t="s">
        <v>49</v>
      </c>
      <c r="F77" s="124">
        <v>1</v>
      </c>
      <c r="G77" s="124">
        <v>1.5</v>
      </c>
      <c r="H77" s="124">
        <v>2</v>
      </c>
      <c r="I77" s="124">
        <f t="shared" si="14"/>
        <v>3</v>
      </c>
      <c r="J77" s="186">
        <v>68000</v>
      </c>
      <c r="K77" s="186">
        <f t="shared" si="11"/>
        <v>204000</v>
      </c>
      <c r="L77" s="186">
        <f t="shared" si="12"/>
        <v>2448000</v>
      </c>
      <c r="M77" s="186">
        <v>69000</v>
      </c>
      <c r="N77" s="186">
        <f t="shared" si="13"/>
        <v>828000</v>
      </c>
      <c r="O77" s="186">
        <f t="shared" si="15"/>
        <v>3276000</v>
      </c>
      <c r="P77" s="230"/>
    </row>
    <row r="78" spans="1:17" s="12" customFormat="1" ht="15" x14ac:dyDescent="0.25">
      <c r="A78" s="6">
        <v>14</v>
      </c>
      <c r="B78" s="192" t="s">
        <v>43</v>
      </c>
      <c r="C78" s="124" t="s">
        <v>149</v>
      </c>
      <c r="D78" s="124">
        <v>59</v>
      </c>
      <c r="E78" s="124" t="s">
        <v>65</v>
      </c>
      <c r="F78" s="124">
        <v>1</v>
      </c>
      <c r="G78" s="124">
        <v>1.5</v>
      </c>
      <c r="H78" s="124">
        <v>2</v>
      </c>
      <c r="I78" s="124">
        <f t="shared" si="14"/>
        <v>3</v>
      </c>
      <c r="J78" s="186">
        <v>68000</v>
      </c>
      <c r="K78" s="186">
        <f t="shared" si="11"/>
        <v>204000</v>
      </c>
      <c r="L78" s="186">
        <f t="shared" si="12"/>
        <v>2448000</v>
      </c>
      <c r="M78" s="186">
        <v>69000</v>
      </c>
      <c r="N78" s="186">
        <f t="shared" si="13"/>
        <v>828000</v>
      </c>
      <c r="O78" s="186">
        <f t="shared" si="15"/>
        <v>3276000</v>
      </c>
      <c r="P78" s="230"/>
    </row>
    <row r="79" spans="1:17" s="12" customFormat="1" ht="30" x14ac:dyDescent="0.25">
      <c r="A79" s="6">
        <v>15</v>
      </c>
      <c r="B79" s="192" t="s">
        <v>115</v>
      </c>
      <c r="C79" s="124" t="s">
        <v>116</v>
      </c>
      <c r="D79" s="124">
        <v>60</v>
      </c>
      <c r="E79" s="124" t="s">
        <v>49</v>
      </c>
      <c r="F79" s="124">
        <v>1</v>
      </c>
      <c r="G79" s="124">
        <v>1.5</v>
      </c>
      <c r="H79" s="124">
        <v>2</v>
      </c>
      <c r="I79" s="124">
        <f t="shared" si="14"/>
        <v>3</v>
      </c>
      <c r="J79" s="186">
        <v>68000</v>
      </c>
      <c r="K79" s="186">
        <f t="shared" si="11"/>
        <v>204000</v>
      </c>
      <c r="L79" s="186">
        <f t="shared" si="12"/>
        <v>2448000</v>
      </c>
      <c r="M79" s="186">
        <v>69000</v>
      </c>
      <c r="N79" s="186">
        <f t="shared" si="13"/>
        <v>828000</v>
      </c>
      <c r="O79" s="186">
        <f t="shared" si="15"/>
        <v>3276000</v>
      </c>
      <c r="P79" s="230">
        <v>3276000</v>
      </c>
    </row>
    <row r="80" spans="1:17" s="12" customFormat="1" ht="30" x14ac:dyDescent="0.25">
      <c r="A80" s="6">
        <v>16</v>
      </c>
      <c r="B80" s="193" t="s">
        <v>44</v>
      </c>
      <c r="C80" s="124" t="s">
        <v>157</v>
      </c>
      <c r="D80" s="124">
        <v>61</v>
      </c>
      <c r="E80" s="124" t="s">
        <v>49</v>
      </c>
      <c r="F80" s="124">
        <v>2</v>
      </c>
      <c r="G80" s="124">
        <f>1.5*2</f>
        <v>3</v>
      </c>
      <c r="H80" s="124">
        <v>2</v>
      </c>
      <c r="I80" s="124">
        <f t="shared" si="14"/>
        <v>6</v>
      </c>
      <c r="J80" s="186">
        <v>68000</v>
      </c>
      <c r="K80" s="186">
        <f t="shared" si="11"/>
        <v>408000</v>
      </c>
      <c r="L80" s="186">
        <f t="shared" si="12"/>
        <v>4896000</v>
      </c>
      <c r="M80" s="186">
        <v>69000</v>
      </c>
      <c r="N80" s="186">
        <f t="shared" si="13"/>
        <v>828000</v>
      </c>
      <c r="O80" s="186">
        <f t="shared" si="15"/>
        <v>5724000</v>
      </c>
      <c r="P80" s="230"/>
    </row>
    <row r="81" spans="1:16" s="12" customFormat="1" ht="30" x14ac:dyDescent="0.25">
      <c r="A81" s="6">
        <v>17</v>
      </c>
      <c r="B81" s="193" t="s">
        <v>45</v>
      </c>
      <c r="C81" s="124" t="s">
        <v>192</v>
      </c>
      <c r="D81" s="124">
        <v>62</v>
      </c>
      <c r="E81" s="124" t="s">
        <v>49</v>
      </c>
      <c r="F81" s="124">
        <v>1</v>
      </c>
      <c r="G81" s="124">
        <v>1.5</v>
      </c>
      <c r="H81" s="124">
        <v>2</v>
      </c>
      <c r="I81" s="124">
        <f t="shared" si="14"/>
        <v>3</v>
      </c>
      <c r="J81" s="186">
        <v>68000</v>
      </c>
      <c r="K81" s="186">
        <f t="shared" si="11"/>
        <v>204000</v>
      </c>
      <c r="L81" s="186">
        <f t="shared" si="12"/>
        <v>2448000</v>
      </c>
      <c r="M81" s="186">
        <v>69000</v>
      </c>
      <c r="N81" s="186">
        <f t="shared" si="13"/>
        <v>828000</v>
      </c>
      <c r="O81" s="186">
        <f t="shared" si="15"/>
        <v>3276000</v>
      </c>
      <c r="P81" s="230"/>
    </row>
    <row r="82" spans="1:16" s="12" customFormat="1" ht="30" x14ac:dyDescent="0.25">
      <c r="A82" s="6">
        <v>18</v>
      </c>
      <c r="B82" s="193" t="s">
        <v>46</v>
      </c>
      <c r="C82" s="124" t="s">
        <v>163</v>
      </c>
      <c r="D82" s="124">
        <v>63</v>
      </c>
      <c r="E82" s="124" t="s">
        <v>49</v>
      </c>
      <c r="F82" s="124">
        <v>1</v>
      </c>
      <c r="G82" s="124">
        <v>1.5</v>
      </c>
      <c r="H82" s="124">
        <v>2</v>
      </c>
      <c r="I82" s="124">
        <f t="shared" si="14"/>
        <v>3</v>
      </c>
      <c r="J82" s="186">
        <v>68000</v>
      </c>
      <c r="K82" s="186">
        <f t="shared" si="11"/>
        <v>204000</v>
      </c>
      <c r="L82" s="186">
        <f t="shared" si="12"/>
        <v>2448000</v>
      </c>
      <c r="M82" s="186">
        <v>69000</v>
      </c>
      <c r="N82" s="186">
        <f t="shared" si="13"/>
        <v>828000</v>
      </c>
      <c r="O82" s="186">
        <f t="shared" si="15"/>
        <v>3276000</v>
      </c>
      <c r="P82" s="230"/>
    </row>
    <row r="83" spans="1:16" s="12" customFormat="1" ht="30" x14ac:dyDescent="0.25">
      <c r="A83" s="6">
        <v>19</v>
      </c>
      <c r="B83" s="192" t="s">
        <v>47</v>
      </c>
      <c r="C83" s="124" t="s">
        <v>187</v>
      </c>
      <c r="D83" s="124">
        <v>64</v>
      </c>
      <c r="E83" s="124" t="s">
        <v>49</v>
      </c>
      <c r="F83" s="124">
        <v>1</v>
      </c>
      <c r="G83" s="124">
        <v>1.5</v>
      </c>
      <c r="H83" s="124">
        <v>2</v>
      </c>
      <c r="I83" s="124">
        <f t="shared" si="14"/>
        <v>3</v>
      </c>
      <c r="J83" s="186">
        <v>68000</v>
      </c>
      <c r="K83" s="186">
        <f t="shared" si="11"/>
        <v>204000</v>
      </c>
      <c r="L83" s="186">
        <f t="shared" si="12"/>
        <v>2448000</v>
      </c>
      <c r="M83" s="186">
        <v>69000</v>
      </c>
      <c r="N83" s="186">
        <f t="shared" si="13"/>
        <v>828000</v>
      </c>
      <c r="O83" s="186">
        <f t="shared" si="15"/>
        <v>3276000</v>
      </c>
      <c r="P83" s="230">
        <f>O83</f>
        <v>3276000</v>
      </c>
    </row>
    <row r="84" spans="1:16" s="12" customFormat="1" ht="15" x14ac:dyDescent="0.25">
      <c r="A84" s="6">
        <v>20</v>
      </c>
      <c r="B84" s="192" t="s">
        <v>164</v>
      </c>
      <c r="C84" s="124" t="s">
        <v>165</v>
      </c>
      <c r="D84" s="124">
        <v>65</v>
      </c>
      <c r="E84" s="124" t="s">
        <v>49</v>
      </c>
      <c r="F84" s="124">
        <v>1</v>
      </c>
      <c r="G84" s="124">
        <v>1.5</v>
      </c>
      <c r="H84" s="124">
        <v>2</v>
      </c>
      <c r="I84" s="124">
        <f t="shared" si="14"/>
        <v>3</v>
      </c>
      <c r="J84" s="186">
        <v>68000</v>
      </c>
      <c r="K84" s="186">
        <f t="shared" si="11"/>
        <v>204000</v>
      </c>
      <c r="L84" s="186">
        <f t="shared" si="12"/>
        <v>2448000</v>
      </c>
      <c r="M84" s="186">
        <v>69000</v>
      </c>
      <c r="N84" s="186">
        <f t="shared" si="13"/>
        <v>828000</v>
      </c>
      <c r="O84" s="186">
        <f t="shared" si="15"/>
        <v>3276000</v>
      </c>
      <c r="P84" s="230"/>
    </row>
    <row r="85" spans="1:16" s="12" customFormat="1" ht="15" x14ac:dyDescent="0.25">
      <c r="A85" s="6">
        <v>21</v>
      </c>
      <c r="B85" s="192" t="s">
        <v>280</v>
      </c>
      <c r="C85" s="124" t="s">
        <v>168</v>
      </c>
      <c r="D85" s="124">
        <v>66</v>
      </c>
      <c r="E85" s="124" t="s">
        <v>49</v>
      </c>
      <c r="F85" s="124">
        <v>2</v>
      </c>
      <c r="G85" s="124">
        <v>3</v>
      </c>
      <c r="H85" s="124">
        <v>2</v>
      </c>
      <c r="I85" s="124">
        <f t="shared" si="14"/>
        <v>6</v>
      </c>
      <c r="J85" s="186">
        <v>68000</v>
      </c>
      <c r="K85" s="186">
        <f t="shared" si="11"/>
        <v>408000</v>
      </c>
      <c r="L85" s="186">
        <f t="shared" si="12"/>
        <v>4896000</v>
      </c>
      <c r="M85" s="186">
        <v>69000</v>
      </c>
      <c r="N85" s="186">
        <f t="shared" si="13"/>
        <v>828000</v>
      </c>
      <c r="O85" s="186">
        <f t="shared" si="15"/>
        <v>5724000</v>
      </c>
      <c r="P85" s="230"/>
    </row>
    <row r="86" spans="1:16" s="12" customFormat="1" ht="30" x14ac:dyDescent="0.25">
      <c r="A86" s="6">
        <v>22</v>
      </c>
      <c r="B86" s="192" t="s">
        <v>515</v>
      </c>
      <c r="C86" s="124" t="s">
        <v>185</v>
      </c>
      <c r="D86" s="124">
        <v>67</v>
      </c>
      <c r="E86" s="124" t="s">
        <v>49</v>
      </c>
      <c r="F86" s="124">
        <v>1</v>
      </c>
      <c r="G86" s="124">
        <v>1.5</v>
      </c>
      <c r="H86" s="124">
        <v>2</v>
      </c>
      <c r="I86" s="124">
        <f t="shared" si="14"/>
        <v>3</v>
      </c>
      <c r="J86" s="186">
        <v>68000</v>
      </c>
      <c r="K86" s="186">
        <f t="shared" si="11"/>
        <v>204000</v>
      </c>
      <c r="L86" s="186">
        <f t="shared" si="12"/>
        <v>2448000</v>
      </c>
      <c r="M86" s="186">
        <v>69000</v>
      </c>
      <c r="N86" s="186">
        <f t="shared" si="13"/>
        <v>828000</v>
      </c>
      <c r="O86" s="186">
        <f t="shared" si="15"/>
        <v>3276000</v>
      </c>
      <c r="P86" s="230"/>
    </row>
    <row r="87" spans="1:16" s="12" customFormat="1" ht="15" x14ac:dyDescent="0.25">
      <c r="A87" s="6">
        <v>23</v>
      </c>
      <c r="B87" s="192" t="s">
        <v>184</v>
      </c>
      <c r="C87" s="124" t="s">
        <v>269</v>
      </c>
      <c r="D87" s="124">
        <v>68</v>
      </c>
      <c r="E87" s="124" t="s">
        <v>49</v>
      </c>
      <c r="F87" s="124">
        <v>1</v>
      </c>
      <c r="G87" s="124">
        <v>1.5</v>
      </c>
      <c r="H87" s="124">
        <v>2</v>
      </c>
      <c r="I87" s="124">
        <f t="shared" si="14"/>
        <v>3</v>
      </c>
      <c r="J87" s="186">
        <v>68000</v>
      </c>
      <c r="K87" s="186">
        <f t="shared" si="11"/>
        <v>204000</v>
      </c>
      <c r="L87" s="186">
        <f t="shared" si="12"/>
        <v>2448000</v>
      </c>
      <c r="M87" s="186">
        <v>69000</v>
      </c>
      <c r="N87" s="186">
        <f t="shared" si="13"/>
        <v>828000</v>
      </c>
      <c r="O87" s="186">
        <f t="shared" si="15"/>
        <v>3276000</v>
      </c>
      <c r="P87" s="230"/>
    </row>
    <row r="88" spans="1:16" s="19" customFormat="1" ht="15" x14ac:dyDescent="0.25">
      <c r="A88" s="6">
        <v>24</v>
      </c>
      <c r="B88" s="192" t="s">
        <v>296</v>
      </c>
      <c r="C88" s="124" t="s">
        <v>297</v>
      </c>
      <c r="D88" s="124">
        <v>69</v>
      </c>
      <c r="E88" s="124" t="s">
        <v>49</v>
      </c>
      <c r="F88" s="124">
        <v>1</v>
      </c>
      <c r="G88" s="124">
        <v>1.5</v>
      </c>
      <c r="H88" s="124">
        <v>2</v>
      </c>
      <c r="I88" s="124">
        <f>G88*H88</f>
        <v>3</v>
      </c>
      <c r="J88" s="186">
        <v>68000</v>
      </c>
      <c r="K88" s="186">
        <f t="shared" si="11"/>
        <v>204000</v>
      </c>
      <c r="L88" s="186">
        <f>K88*12</f>
        <v>2448000</v>
      </c>
      <c r="M88" s="186">
        <v>69000</v>
      </c>
      <c r="N88" s="186">
        <f>M88*12</f>
        <v>828000</v>
      </c>
      <c r="O88" s="186">
        <f t="shared" si="15"/>
        <v>3276000</v>
      </c>
      <c r="P88" s="230">
        <v>3276000</v>
      </c>
    </row>
    <row r="89" spans="1:16" s="19" customFormat="1" ht="15" x14ac:dyDescent="0.25">
      <c r="A89" s="6">
        <v>25</v>
      </c>
      <c r="B89" s="192" t="s">
        <v>361</v>
      </c>
      <c r="C89" s="124"/>
      <c r="D89" s="124">
        <v>70</v>
      </c>
      <c r="E89" s="124" t="s">
        <v>49</v>
      </c>
      <c r="F89" s="188">
        <v>1</v>
      </c>
      <c r="G89" s="124">
        <v>1.5</v>
      </c>
      <c r="H89" s="124">
        <v>2</v>
      </c>
      <c r="I89" s="124">
        <v>3</v>
      </c>
      <c r="J89" s="186">
        <v>68000</v>
      </c>
      <c r="K89" s="186">
        <v>204000</v>
      </c>
      <c r="L89" s="186">
        <v>2448000</v>
      </c>
      <c r="M89" s="186">
        <v>69000</v>
      </c>
      <c r="N89" s="186">
        <v>828000</v>
      </c>
      <c r="O89" s="186">
        <v>3276000</v>
      </c>
      <c r="P89" s="230"/>
    </row>
    <row r="90" spans="1:16" s="19" customFormat="1" ht="15" x14ac:dyDescent="0.25">
      <c r="A90" s="6">
        <v>26</v>
      </c>
      <c r="B90" s="193" t="s">
        <v>486</v>
      </c>
      <c r="C90" s="188"/>
      <c r="D90" s="124">
        <v>71</v>
      </c>
      <c r="E90" s="124" t="s">
        <v>49</v>
      </c>
      <c r="F90" s="188">
        <v>1</v>
      </c>
      <c r="G90" s="124">
        <v>1.5</v>
      </c>
      <c r="H90" s="124">
        <v>2</v>
      </c>
      <c r="I90" s="124">
        <v>3</v>
      </c>
      <c r="J90" s="186">
        <v>68000</v>
      </c>
      <c r="K90" s="186">
        <v>204000</v>
      </c>
      <c r="L90" s="186">
        <v>2448000</v>
      </c>
      <c r="M90" s="186">
        <v>69000</v>
      </c>
      <c r="N90" s="186">
        <v>828000</v>
      </c>
      <c r="O90" s="186">
        <v>3276000</v>
      </c>
      <c r="P90" s="230"/>
    </row>
    <row r="91" spans="1:16" s="19" customFormat="1" ht="15" x14ac:dyDescent="0.25">
      <c r="A91" s="6">
        <v>27</v>
      </c>
      <c r="B91" s="193" t="s">
        <v>409</v>
      </c>
      <c r="C91" s="188" t="s">
        <v>410</v>
      </c>
      <c r="D91" s="124">
        <v>72</v>
      </c>
      <c r="E91" s="124" t="s">
        <v>49</v>
      </c>
      <c r="F91" s="188">
        <v>1</v>
      </c>
      <c r="G91" s="124">
        <v>1.5</v>
      </c>
      <c r="H91" s="124">
        <v>2</v>
      </c>
      <c r="I91" s="124">
        <v>3</v>
      </c>
      <c r="J91" s="186">
        <v>68000</v>
      </c>
      <c r="K91" s="186">
        <v>204000</v>
      </c>
      <c r="L91" s="186">
        <v>2448000</v>
      </c>
      <c r="M91" s="186">
        <v>69000</v>
      </c>
      <c r="N91" s="186">
        <v>828000</v>
      </c>
      <c r="O91" s="186">
        <v>3276000</v>
      </c>
      <c r="P91" s="230"/>
    </row>
    <row r="92" spans="1:16" s="19" customFormat="1" ht="15" x14ac:dyDescent="0.25">
      <c r="A92" s="6">
        <v>28</v>
      </c>
      <c r="B92" s="193" t="s">
        <v>454</v>
      </c>
      <c r="C92" s="188" t="s">
        <v>455</v>
      </c>
      <c r="D92" s="124">
        <v>183</v>
      </c>
      <c r="E92" s="124" t="s">
        <v>49</v>
      </c>
      <c r="F92" s="188">
        <v>1</v>
      </c>
      <c r="G92" s="124">
        <v>1.5</v>
      </c>
      <c r="H92" s="124">
        <v>2</v>
      </c>
      <c r="I92" s="124">
        <v>3</v>
      </c>
      <c r="J92" s="186">
        <v>68000</v>
      </c>
      <c r="K92" s="186">
        <v>204000</v>
      </c>
      <c r="L92" s="186">
        <v>2448000</v>
      </c>
      <c r="M92" s="186">
        <v>69000</v>
      </c>
      <c r="N92" s="186">
        <v>828000</v>
      </c>
      <c r="O92" s="186">
        <v>3276000</v>
      </c>
      <c r="P92" s="230"/>
    </row>
    <row r="93" spans="1:16" s="19" customFormat="1" ht="15" x14ac:dyDescent="0.25">
      <c r="A93" s="95"/>
      <c r="B93" s="106" t="s">
        <v>304</v>
      </c>
      <c r="C93" s="97"/>
      <c r="D93" s="97"/>
      <c r="E93" s="97"/>
      <c r="F93" s="97">
        <f>SUM(F65:F92)</f>
        <v>32</v>
      </c>
      <c r="G93" s="97"/>
      <c r="H93" s="97"/>
      <c r="I93" s="97"/>
      <c r="J93" s="107"/>
      <c r="K93" s="107">
        <f>SUM(K65:K92)</f>
        <v>6528000</v>
      </c>
      <c r="L93" s="17">
        <f>SUM(L65:L92)</f>
        <v>78336000</v>
      </c>
      <c r="M93" s="107"/>
      <c r="N93" s="17">
        <f>SUM(N65:N92)</f>
        <v>23184000</v>
      </c>
      <c r="O93" s="17">
        <f>SUM(O65:O92)</f>
        <v>101520000</v>
      </c>
      <c r="P93" s="131"/>
    </row>
    <row r="94" spans="1:16" s="11" customFormat="1" ht="15" x14ac:dyDescent="0.25">
      <c r="A94" s="264" t="s">
        <v>310</v>
      </c>
      <c r="B94" s="265"/>
      <c r="C94" s="265"/>
      <c r="D94" s="265"/>
      <c r="E94" s="265"/>
      <c r="F94" s="265"/>
      <c r="G94" s="265"/>
      <c r="H94" s="265"/>
      <c r="I94" s="265"/>
      <c r="J94" s="265"/>
      <c r="K94" s="265"/>
      <c r="L94" s="265"/>
      <c r="M94" s="265"/>
      <c r="N94" s="265"/>
      <c r="O94" s="265"/>
      <c r="P94" s="266"/>
    </row>
    <row r="95" spans="1:16" s="8" customFormat="1" ht="30" x14ac:dyDescent="0.25">
      <c r="A95" s="6">
        <v>1</v>
      </c>
      <c r="B95" s="184" t="s">
        <v>514</v>
      </c>
      <c r="C95" s="184"/>
      <c r="D95" s="124">
        <v>73</v>
      </c>
      <c r="E95" s="124" t="s">
        <v>53</v>
      </c>
      <c r="F95" s="124">
        <v>1</v>
      </c>
      <c r="G95" s="124">
        <v>2</v>
      </c>
      <c r="H95" s="124">
        <v>2</v>
      </c>
      <c r="I95" s="124">
        <f>G95*H95</f>
        <v>4</v>
      </c>
      <c r="J95" s="186">
        <v>68000</v>
      </c>
      <c r="K95" s="186">
        <f t="shared" ref="K95:K107" si="16">I95*J95</f>
        <v>272000</v>
      </c>
      <c r="L95" s="186">
        <f t="shared" ref="L95:L107" si="17">K95*12</f>
        <v>3264000</v>
      </c>
      <c r="M95" s="186">
        <v>69000</v>
      </c>
      <c r="N95" s="186">
        <f t="shared" ref="N95:N107" si="18">M95*12</f>
        <v>828000</v>
      </c>
      <c r="O95" s="186">
        <f>L95+N95</f>
        <v>4092000</v>
      </c>
      <c r="P95" s="231"/>
    </row>
    <row r="96" spans="1:16" s="8" customFormat="1" ht="15" x14ac:dyDescent="0.25">
      <c r="A96" s="6">
        <v>2</v>
      </c>
      <c r="B96" s="184" t="s">
        <v>51</v>
      </c>
      <c r="C96" s="184" t="s">
        <v>217</v>
      </c>
      <c r="D96" s="124">
        <v>74</v>
      </c>
      <c r="E96" s="124" t="s">
        <v>53</v>
      </c>
      <c r="F96" s="124">
        <v>1</v>
      </c>
      <c r="G96" s="124">
        <v>2</v>
      </c>
      <c r="H96" s="124">
        <v>2</v>
      </c>
      <c r="I96" s="124">
        <f t="shared" ref="I96:I107" si="19">G96*H96</f>
        <v>4</v>
      </c>
      <c r="J96" s="186">
        <v>68000</v>
      </c>
      <c r="K96" s="186">
        <f t="shared" si="16"/>
        <v>272000</v>
      </c>
      <c r="L96" s="186">
        <f>K96*12</f>
        <v>3264000</v>
      </c>
      <c r="M96" s="186">
        <v>69000</v>
      </c>
      <c r="N96" s="186">
        <f t="shared" si="18"/>
        <v>828000</v>
      </c>
      <c r="O96" s="186">
        <f t="shared" ref="O96:O107" si="20">L96+N96</f>
        <v>4092000</v>
      </c>
      <c r="P96" s="231"/>
    </row>
    <row r="97" spans="1:17" s="53" customFormat="1" ht="30" x14ac:dyDescent="0.25">
      <c r="A97" s="6">
        <v>3</v>
      </c>
      <c r="B97" s="184" t="s">
        <v>246</v>
      </c>
      <c r="C97" s="184" t="s">
        <v>249</v>
      </c>
      <c r="D97" s="124">
        <v>75</v>
      </c>
      <c r="E97" s="124" t="s">
        <v>53</v>
      </c>
      <c r="F97" s="124">
        <v>2</v>
      </c>
      <c r="G97" s="124">
        <v>4</v>
      </c>
      <c r="H97" s="124">
        <v>2</v>
      </c>
      <c r="I97" s="124">
        <f>G97*H97</f>
        <v>8</v>
      </c>
      <c r="J97" s="186">
        <v>68000</v>
      </c>
      <c r="K97" s="186">
        <f>I97*J97</f>
        <v>544000</v>
      </c>
      <c r="L97" s="186">
        <f>K97*12</f>
        <v>6528000</v>
      </c>
      <c r="M97" s="186">
        <v>69000</v>
      </c>
      <c r="N97" s="186">
        <f>M97*12</f>
        <v>828000</v>
      </c>
      <c r="O97" s="186">
        <f>L97+N97</f>
        <v>7356000</v>
      </c>
      <c r="P97" s="231"/>
    </row>
    <row r="98" spans="1:17" s="8" customFormat="1" ht="30" x14ac:dyDescent="0.25">
      <c r="A98" s="6">
        <v>4</v>
      </c>
      <c r="B98" s="184" t="s">
        <v>353</v>
      </c>
      <c r="C98" s="184" t="s">
        <v>271</v>
      </c>
      <c r="D98" s="124">
        <v>76</v>
      </c>
      <c r="E98" s="124" t="s">
        <v>53</v>
      </c>
      <c r="F98" s="124">
        <v>2</v>
      </c>
      <c r="G98" s="124">
        <v>4</v>
      </c>
      <c r="H98" s="124">
        <v>2</v>
      </c>
      <c r="I98" s="124">
        <f t="shared" si="19"/>
        <v>8</v>
      </c>
      <c r="J98" s="186">
        <v>68000</v>
      </c>
      <c r="K98" s="186">
        <f t="shared" si="16"/>
        <v>544000</v>
      </c>
      <c r="L98" s="186">
        <f>K98*12</f>
        <v>6528000</v>
      </c>
      <c r="M98" s="186">
        <v>69000</v>
      </c>
      <c r="N98" s="186">
        <f t="shared" si="18"/>
        <v>828000</v>
      </c>
      <c r="O98" s="186">
        <f t="shared" si="20"/>
        <v>7356000</v>
      </c>
      <c r="P98" s="231"/>
      <c r="Q98" s="70"/>
    </row>
    <row r="99" spans="1:17" s="53" customFormat="1" ht="45" x14ac:dyDescent="0.25">
      <c r="A99" s="6">
        <v>5</v>
      </c>
      <c r="B99" s="195" t="s">
        <v>431</v>
      </c>
      <c r="C99" s="184" t="s">
        <v>250</v>
      </c>
      <c r="D99" s="124">
        <v>77</v>
      </c>
      <c r="E99" s="124" t="s">
        <v>53</v>
      </c>
      <c r="F99" s="124">
        <v>1</v>
      </c>
      <c r="G99" s="124">
        <v>2</v>
      </c>
      <c r="H99" s="124">
        <v>2</v>
      </c>
      <c r="I99" s="124">
        <f>G99*H99</f>
        <v>4</v>
      </c>
      <c r="J99" s="186">
        <v>68000</v>
      </c>
      <c r="K99" s="186">
        <f t="shared" si="16"/>
        <v>272000</v>
      </c>
      <c r="L99" s="186">
        <f>K99*12</f>
        <v>3264000</v>
      </c>
      <c r="M99" s="186">
        <v>69000</v>
      </c>
      <c r="N99" s="186">
        <f>M99*12</f>
        <v>828000</v>
      </c>
      <c r="O99" s="186">
        <f t="shared" si="20"/>
        <v>4092000</v>
      </c>
      <c r="P99" s="231"/>
    </row>
    <row r="100" spans="1:17" s="44" customFormat="1" ht="15" x14ac:dyDescent="0.25">
      <c r="A100" s="6">
        <v>6</v>
      </c>
      <c r="B100" s="184" t="s">
        <v>24</v>
      </c>
      <c r="C100" s="184" t="s">
        <v>230</v>
      </c>
      <c r="D100" s="124">
        <v>78</v>
      </c>
      <c r="E100" s="124" t="s">
        <v>53</v>
      </c>
      <c r="F100" s="124">
        <v>1</v>
      </c>
      <c r="G100" s="124">
        <v>2</v>
      </c>
      <c r="H100" s="124">
        <v>2</v>
      </c>
      <c r="I100" s="124">
        <f t="shared" si="19"/>
        <v>4</v>
      </c>
      <c r="J100" s="186">
        <v>68000</v>
      </c>
      <c r="K100" s="186">
        <f t="shared" si="16"/>
        <v>272000</v>
      </c>
      <c r="L100" s="186">
        <f t="shared" si="17"/>
        <v>3264000</v>
      </c>
      <c r="M100" s="186">
        <v>69000</v>
      </c>
      <c r="N100" s="186">
        <f t="shared" si="18"/>
        <v>828000</v>
      </c>
      <c r="O100" s="186">
        <f t="shared" si="20"/>
        <v>4092000</v>
      </c>
      <c r="P100" s="231"/>
    </row>
    <row r="101" spans="1:17" s="53" customFormat="1" ht="15" x14ac:dyDescent="0.25">
      <c r="A101" s="6">
        <v>7</v>
      </c>
      <c r="B101" s="184" t="s">
        <v>243</v>
      </c>
      <c r="C101" s="184" t="s">
        <v>250</v>
      </c>
      <c r="D101" s="124">
        <v>79</v>
      </c>
      <c r="E101" s="124" t="s">
        <v>53</v>
      </c>
      <c r="F101" s="124">
        <v>1</v>
      </c>
      <c r="G101" s="124">
        <v>2</v>
      </c>
      <c r="H101" s="124">
        <v>2</v>
      </c>
      <c r="I101" s="124">
        <v>4</v>
      </c>
      <c r="J101" s="186">
        <v>68000</v>
      </c>
      <c r="K101" s="186">
        <f>I101*J101</f>
        <v>272000</v>
      </c>
      <c r="L101" s="186">
        <f>K101*12</f>
        <v>3264000</v>
      </c>
      <c r="M101" s="186">
        <v>69000</v>
      </c>
      <c r="N101" s="186">
        <f>M101*12</f>
        <v>828000</v>
      </c>
      <c r="O101" s="186">
        <f>L101+N101</f>
        <v>4092000</v>
      </c>
      <c r="P101" s="231"/>
    </row>
    <row r="102" spans="1:17" s="53" customFormat="1" ht="15" x14ac:dyDescent="0.25">
      <c r="A102" s="6">
        <v>8</v>
      </c>
      <c r="B102" s="195" t="s">
        <v>244</v>
      </c>
      <c r="C102" s="184" t="s">
        <v>252</v>
      </c>
      <c r="D102" s="124">
        <v>80</v>
      </c>
      <c r="E102" s="124" t="s">
        <v>53</v>
      </c>
      <c r="F102" s="124">
        <v>1</v>
      </c>
      <c r="G102" s="124">
        <v>2</v>
      </c>
      <c r="H102" s="124">
        <v>2</v>
      </c>
      <c r="I102" s="124">
        <v>4</v>
      </c>
      <c r="J102" s="186">
        <v>68000</v>
      </c>
      <c r="K102" s="186">
        <f>I102*J102</f>
        <v>272000</v>
      </c>
      <c r="L102" s="196">
        <f>K102*12</f>
        <v>3264000</v>
      </c>
      <c r="M102" s="186">
        <v>69000</v>
      </c>
      <c r="N102" s="186">
        <f>M102*12</f>
        <v>828000</v>
      </c>
      <c r="O102" s="186">
        <f>L102+N102</f>
        <v>4092000</v>
      </c>
      <c r="P102" s="231"/>
    </row>
    <row r="103" spans="1:17" s="8" customFormat="1" ht="15" x14ac:dyDescent="0.25">
      <c r="A103" s="6">
        <v>9</v>
      </c>
      <c r="B103" s="184" t="s">
        <v>233</v>
      </c>
      <c r="C103" s="184" t="s">
        <v>231</v>
      </c>
      <c r="D103" s="124">
        <v>81</v>
      </c>
      <c r="E103" s="124" t="s">
        <v>53</v>
      </c>
      <c r="F103" s="124">
        <v>1</v>
      </c>
      <c r="G103" s="124">
        <v>2</v>
      </c>
      <c r="H103" s="124">
        <v>2</v>
      </c>
      <c r="I103" s="124">
        <f t="shared" si="19"/>
        <v>4</v>
      </c>
      <c r="J103" s="186">
        <v>68000</v>
      </c>
      <c r="K103" s="186">
        <f t="shared" si="16"/>
        <v>272000</v>
      </c>
      <c r="L103" s="186">
        <f t="shared" si="17"/>
        <v>3264000</v>
      </c>
      <c r="M103" s="186">
        <v>69000</v>
      </c>
      <c r="N103" s="186">
        <f t="shared" si="18"/>
        <v>828000</v>
      </c>
      <c r="O103" s="186">
        <f t="shared" si="20"/>
        <v>4092000</v>
      </c>
      <c r="P103" s="231"/>
    </row>
    <row r="104" spans="1:17" s="8" customFormat="1" ht="15" x14ac:dyDescent="0.25">
      <c r="A104" s="6">
        <v>10</v>
      </c>
      <c r="B104" s="184" t="s">
        <v>52</v>
      </c>
      <c r="C104" s="197" t="s">
        <v>274</v>
      </c>
      <c r="D104" s="124">
        <v>82</v>
      </c>
      <c r="E104" s="124" t="s">
        <v>53</v>
      </c>
      <c r="F104" s="124">
        <v>1</v>
      </c>
      <c r="G104" s="124">
        <v>2</v>
      </c>
      <c r="H104" s="124">
        <v>2</v>
      </c>
      <c r="I104" s="124">
        <f t="shared" si="19"/>
        <v>4</v>
      </c>
      <c r="J104" s="186">
        <v>68000</v>
      </c>
      <c r="K104" s="186">
        <f t="shared" si="16"/>
        <v>272000</v>
      </c>
      <c r="L104" s="186">
        <f t="shared" si="17"/>
        <v>3264000</v>
      </c>
      <c r="M104" s="186">
        <v>69000</v>
      </c>
      <c r="N104" s="186"/>
      <c r="O104" s="186">
        <f t="shared" si="20"/>
        <v>3264000</v>
      </c>
      <c r="P104" s="231"/>
    </row>
    <row r="105" spans="1:17" s="8" customFormat="1" ht="15" x14ac:dyDescent="0.25">
      <c r="A105" s="6">
        <v>11</v>
      </c>
      <c r="B105" s="184" t="s">
        <v>245</v>
      </c>
      <c r="C105" s="184" t="s">
        <v>253</v>
      </c>
      <c r="D105" s="124">
        <v>83</v>
      </c>
      <c r="E105" s="124" t="s">
        <v>53</v>
      </c>
      <c r="F105" s="124">
        <v>1</v>
      </c>
      <c r="G105" s="124">
        <v>2</v>
      </c>
      <c r="H105" s="124">
        <v>2</v>
      </c>
      <c r="I105" s="124">
        <v>4</v>
      </c>
      <c r="J105" s="186">
        <v>68000</v>
      </c>
      <c r="K105" s="186">
        <f t="shared" si="16"/>
        <v>272000</v>
      </c>
      <c r="L105" s="186">
        <f>K105*12</f>
        <v>3264000</v>
      </c>
      <c r="M105" s="186">
        <v>69000</v>
      </c>
      <c r="N105" s="186">
        <f>M105*12</f>
        <v>828000</v>
      </c>
      <c r="O105" s="186">
        <f t="shared" si="20"/>
        <v>4092000</v>
      </c>
      <c r="P105" s="231">
        <f>O105</f>
        <v>4092000</v>
      </c>
    </row>
    <row r="106" spans="1:17" s="53" customFormat="1" ht="15" x14ac:dyDescent="0.25">
      <c r="A106" s="6">
        <v>12</v>
      </c>
      <c r="B106" s="195" t="s">
        <v>242</v>
      </c>
      <c r="C106" s="184" t="s">
        <v>251</v>
      </c>
      <c r="D106" s="124">
        <v>84</v>
      </c>
      <c r="E106" s="124" t="s">
        <v>53</v>
      </c>
      <c r="F106" s="124">
        <v>2</v>
      </c>
      <c r="G106" s="124">
        <v>4</v>
      </c>
      <c r="H106" s="124">
        <v>2</v>
      </c>
      <c r="I106" s="124">
        <f>G106*H106</f>
        <v>8</v>
      </c>
      <c r="J106" s="186">
        <v>68000</v>
      </c>
      <c r="K106" s="186">
        <f>I106*J106</f>
        <v>544000</v>
      </c>
      <c r="L106" s="186">
        <f>K106*12</f>
        <v>6528000</v>
      </c>
      <c r="M106" s="186">
        <v>69000</v>
      </c>
      <c r="N106" s="186">
        <v>828000</v>
      </c>
      <c r="O106" s="186">
        <f>L106+N106</f>
        <v>7356000</v>
      </c>
      <c r="P106" s="231"/>
    </row>
    <row r="107" spans="1:17" s="53" customFormat="1" ht="36" customHeight="1" x14ac:dyDescent="0.25">
      <c r="A107" s="6">
        <v>13</v>
      </c>
      <c r="B107" s="195" t="s">
        <v>411</v>
      </c>
      <c r="C107" s="184" t="s">
        <v>412</v>
      </c>
      <c r="D107" s="124">
        <v>85</v>
      </c>
      <c r="E107" s="124" t="s">
        <v>53</v>
      </c>
      <c r="F107" s="124">
        <v>1</v>
      </c>
      <c r="G107" s="124">
        <v>2</v>
      </c>
      <c r="H107" s="124">
        <v>2</v>
      </c>
      <c r="I107" s="124">
        <f t="shared" si="19"/>
        <v>4</v>
      </c>
      <c r="J107" s="186">
        <v>68000</v>
      </c>
      <c r="K107" s="186">
        <f t="shared" si="16"/>
        <v>272000</v>
      </c>
      <c r="L107" s="186">
        <f t="shared" si="17"/>
        <v>3264000</v>
      </c>
      <c r="M107" s="186">
        <v>69000</v>
      </c>
      <c r="N107" s="186">
        <f t="shared" si="18"/>
        <v>828000</v>
      </c>
      <c r="O107" s="186">
        <f t="shared" si="20"/>
        <v>4092000</v>
      </c>
      <c r="P107" s="231">
        <v>4092000</v>
      </c>
    </row>
    <row r="108" spans="1:17" s="8" customFormat="1" ht="15" x14ac:dyDescent="0.25">
      <c r="A108" s="6">
        <v>14</v>
      </c>
      <c r="B108" s="198" t="s">
        <v>450</v>
      </c>
      <c r="C108" s="124" t="s">
        <v>329</v>
      </c>
      <c r="D108" s="124">
        <v>86</v>
      </c>
      <c r="E108" s="124" t="s">
        <v>330</v>
      </c>
      <c r="F108" s="124">
        <v>1</v>
      </c>
      <c r="G108" s="124">
        <v>2</v>
      </c>
      <c r="H108" s="124">
        <v>2</v>
      </c>
      <c r="I108" s="124">
        <v>4</v>
      </c>
      <c r="J108" s="186">
        <v>68000</v>
      </c>
      <c r="K108" s="186">
        <f>J108*I108</f>
        <v>272000</v>
      </c>
      <c r="L108" s="186">
        <f>K108*12</f>
        <v>3264000</v>
      </c>
      <c r="M108" s="186">
        <v>69000</v>
      </c>
      <c r="N108" s="186">
        <f>M108*12</f>
        <v>828000</v>
      </c>
      <c r="O108" s="186">
        <f>L108+N108</f>
        <v>4092000</v>
      </c>
      <c r="P108" s="231"/>
    </row>
    <row r="109" spans="1:17" s="8" customFormat="1" ht="15" x14ac:dyDescent="0.25">
      <c r="A109" s="95"/>
      <c r="B109" s="109"/>
      <c r="C109" s="96"/>
      <c r="D109" s="97"/>
      <c r="E109" s="97"/>
      <c r="F109" s="97">
        <f>SUM(F95:F108)</f>
        <v>17</v>
      </c>
      <c r="G109" s="97"/>
      <c r="H109" s="97"/>
      <c r="I109" s="97"/>
      <c r="J109" s="107"/>
      <c r="K109" s="107">
        <f>SUM(K95:K108)</f>
        <v>4624000</v>
      </c>
      <c r="L109" s="17">
        <f>SUM(L95:L108)</f>
        <v>55488000</v>
      </c>
      <c r="M109" s="107"/>
      <c r="N109" s="17">
        <f>SUM(N95:N108)</f>
        <v>10764000</v>
      </c>
      <c r="O109" s="17">
        <f>SUM(O95:O108)</f>
        <v>66252000</v>
      </c>
      <c r="P109" s="17"/>
    </row>
    <row r="110" spans="1:17" s="11" customFormat="1" ht="15" x14ac:dyDescent="0.25">
      <c r="A110" s="271" t="s">
        <v>311</v>
      </c>
      <c r="B110" s="272"/>
      <c r="C110" s="272"/>
      <c r="D110" s="272"/>
      <c r="E110" s="272"/>
      <c r="F110" s="272"/>
      <c r="G110" s="272"/>
      <c r="H110" s="272"/>
      <c r="I110" s="272"/>
      <c r="J110" s="272"/>
      <c r="K110" s="272"/>
      <c r="L110" s="272"/>
      <c r="M110" s="272"/>
      <c r="N110" s="272"/>
      <c r="O110" s="272"/>
      <c r="P110" s="273"/>
    </row>
    <row r="111" spans="1:17" s="12" customFormat="1" ht="30" x14ac:dyDescent="0.25">
      <c r="A111" s="6">
        <v>1</v>
      </c>
      <c r="B111" s="192" t="s">
        <v>321</v>
      </c>
      <c r="C111" s="124" t="s">
        <v>152</v>
      </c>
      <c r="D111" s="124">
        <v>87</v>
      </c>
      <c r="E111" s="124" t="s">
        <v>54</v>
      </c>
      <c r="F111" s="124">
        <v>1</v>
      </c>
      <c r="G111" s="124">
        <v>2</v>
      </c>
      <c r="H111" s="124">
        <v>1.5</v>
      </c>
      <c r="I111" s="124">
        <f t="shared" ref="I111:I117" si="21">G111*H111</f>
        <v>3</v>
      </c>
      <c r="J111" s="186">
        <v>50000</v>
      </c>
      <c r="K111" s="186">
        <f t="shared" ref="K111:K116" si="22">I111*J111</f>
        <v>150000</v>
      </c>
      <c r="L111" s="186">
        <f t="shared" ref="L111:L116" si="23">K111*12</f>
        <v>1800000</v>
      </c>
      <c r="M111" s="186">
        <v>69000</v>
      </c>
      <c r="N111" s="186">
        <f t="shared" ref="N111:N117" si="24">M111*12</f>
        <v>828000</v>
      </c>
      <c r="O111" s="186">
        <f t="shared" ref="O111:O116" si="25">L111+N111</f>
        <v>2628000</v>
      </c>
      <c r="P111" s="14"/>
    </row>
    <row r="112" spans="1:17" s="12" customFormat="1" ht="30" x14ac:dyDescent="0.25">
      <c r="A112" s="6">
        <v>2</v>
      </c>
      <c r="B112" s="193" t="s">
        <v>55</v>
      </c>
      <c r="C112" s="124" t="s">
        <v>223</v>
      </c>
      <c r="D112" s="124">
        <v>88</v>
      </c>
      <c r="E112" s="124" t="s">
        <v>15</v>
      </c>
      <c r="F112" s="124">
        <v>1</v>
      </c>
      <c r="G112" s="124">
        <v>2</v>
      </c>
      <c r="H112" s="124">
        <v>1.5</v>
      </c>
      <c r="I112" s="124">
        <f t="shared" si="21"/>
        <v>3</v>
      </c>
      <c r="J112" s="186">
        <v>50000</v>
      </c>
      <c r="K112" s="186">
        <f t="shared" si="22"/>
        <v>150000</v>
      </c>
      <c r="L112" s="186">
        <f t="shared" si="23"/>
        <v>1800000</v>
      </c>
      <c r="M112" s="186">
        <v>69000</v>
      </c>
      <c r="N112" s="186">
        <f t="shared" si="24"/>
        <v>828000</v>
      </c>
      <c r="O112" s="186">
        <f t="shared" si="25"/>
        <v>2628000</v>
      </c>
      <c r="P112" s="172"/>
    </row>
    <row r="113" spans="1:16" s="12" customFormat="1" ht="30" x14ac:dyDescent="0.25">
      <c r="A113" s="6">
        <v>3</v>
      </c>
      <c r="B113" s="192" t="s">
        <v>56</v>
      </c>
      <c r="C113" s="124" t="s">
        <v>186</v>
      </c>
      <c r="D113" s="124">
        <v>89</v>
      </c>
      <c r="E113" s="124" t="s">
        <v>57</v>
      </c>
      <c r="F113" s="124">
        <v>1</v>
      </c>
      <c r="G113" s="124">
        <v>2</v>
      </c>
      <c r="H113" s="124">
        <v>1.5</v>
      </c>
      <c r="I113" s="124">
        <f t="shared" si="21"/>
        <v>3</v>
      </c>
      <c r="J113" s="186">
        <v>50000</v>
      </c>
      <c r="K113" s="186">
        <f t="shared" si="22"/>
        <v>150000</v>
      </c>
      <c r="L113" s="186">
        <f t="shared" si="23"/>
        <v>1800000</v>
      </c>
      <c r="M113" s="186">
        <v>69000</v>
      </c>
      <c r="N113" s="186">
        <f t="shared" si="24"/>
        <v>828000</v>
      </c>
      <c r="O113" s="186">
        <f t="shared" si="25"/>
        <v>2628000</v>
      </c>
      <c r="P113" s="14"/>
    </row>
    <row r="114" spans="1:16" s="12" customFormat="1" ht="30" x14ac:dyDescent="0.25">
      <c r="A114" s="6">
        <v>4</v>
      </c>
      <c r="B114" s="193" t="s">
        <v>327</v>
      </c>
      <c r="C114" s="124" t="s">
        <v>228</v>
      </c>
      <c r="D114" s="124">
        <v>90</v>
      </c>
      <c r="E114" s="124" t="s">
        <v>58</v>
      </c>
      <c r="F114" s="124">
        <v>2</v>
      </c>
      <c r="G114" s="124">
        <v>4</v>
      </c>
      <c r="H114" s="124">
        <v>1.5</v>
      </c>
      <c r="I114" s="124">
        <f t="shared" si="21"/>
        <v>6</v>
      </c>
      <c r="J114" s="186">
        <v>50000</v>
      </c>
      <c r="K114" s="186">
        <f t="shared" si="22"/>
        <v>300000</v>
      </c>
      <c r="L114" s="186">
        <f>K114*12</f>
        <v>3600000</v>
      </c>
      <c r="M114" s="186"/>
      <c r="N114" s="186"/>
      <c r="O114" s="186">
        <f t="shared" si="25"/>
        <v>3600000</v>
      </c>
      <c r="P114" s="14"/>
    </row>
    <row r="115" spans="1:16" s="12" customFormat="1" ht="30" x14ac:dyDescent="0.25">
      <c r="A115" s="6">
        <v>5</v>
      </c>
      <c r="B115" s="192" t="s">
        <v>238</v>
      </c>
      <c r="C115" s="124" t="s">
        <v>224</v>
      </c>
      <c r="D115" s="124">
        <v>91</v>
      </c>
      <c r="E115" s="124" t="s">
        <v>57</v>
      </c>
      <c r="F115" s="124">
        <v>1</v>
      </c>
      <c r="G115" s="124">
        <v>2</v>
      </c>
      <c r="H115" s="124">
        <v>1.5</v>
      </c>
      <c r="I115" s="124">
        <f t="shared" si="21"/>
        <v>3</v>
      </c>
      <c r="J115" s="186">
        <v>50000</v>
      </c>
      <c r="K115" s="186">
        <f t="shared" si="22"/>
        <v>150000</v>
      </c>
      <c r="L115" s="186">
        <f t="shared" si="23"/>
        <v>1800000</v>
      </c>
      <c r="M115" s="186">
        <v>69000</v>
      </c>
      <c r="N115" s="186">
        <f t="shared" si="24"/>
        <v>828000</v>
      </c>
      <c r="O115" s="186">
        <f t="shared" si="25"/>
        <v>2628000</v>
      </c>
      <c r="P115" s="14"/>
    </row>
    <row r="116" spans="1:16" s="12" customFormat="1" ht="30" x14ac:dyDescent="0.25">
      <c r="A116" s="6">
        <v>6</v>
      </c>
      <c r="B116" s="193" t="s">
        <v>327</v>
      </c>
      <c r="C116" s="124" t="s">
        <v>228</v>
      </c>
      <c r="D116" s="124">
        <v>92</v>
      </c>
      <c r="E116" s="124" t="s">
        <v>57</v>
      </c>
      <c r="F116" s="124">
        <v>1</v>
      </c>
      <c r="G116" s="124">
        <v>2</v>
      </c>
      <c r="H116" s="124">
        <v>1.5</v>
      </c>
      <c r="I116" s="124">
        <f t="shared" si="21"/>
        <v>3</v>
      </c>
      <c r="J116" s="186">
        <v>50000</v>
      </c>
      <c r="K116" s="186">
        <f t="shared" si="22"/>
        <v>150000</v>
      </c>
      <c r="L116" s="186">
        <f t="shared" si="23"/>
        <v>1800000</v>
      </c>
      <c r="M116" s="186">
        <v>69000</v>
      </c>
      <c r="N116" s="186">
        <f t="shared" si="24"/>
        <v>828000</v>
      </c>
      <c r="O116" s="186">
        <f t="shared" si="25"/>
        <v>2628000</v>
      </c>
      <c r="P116" s="14"/>
    </row>
    <row r="117" spans="1:16" s="19" customFormat="1" ht="15" x14ac:dyDescent="0.25">
      <c r="A117" s="6">
        <v>7</v>
      </c>
      <c r="B117" s="193" t="s">
        <v>254</v>
      </c>
      <c r="C117" s="188" t="s">
        <v>272</v>
      </c>
      <c r="D117" s="124">
        <v>93</v>
      </c>
      <c r="E117" s="124" t="s">
        <v>255</v>
      </c>
      <c r="F117" s="124">
        <v>1</v>
      </c>
      <c r="G117" s="124">
        <v>2</v>
      </c>
      <c r="H117" s="124">
        <v>1.5</v>
      </c>
      <c r="I117" s="124">
        <f t="shared" si="21"/>
        <v>3</v>
      </c>
      <c r="J117" s="186">
        <v>50000</v>
      </c>
      <c r="K117" s="186">
        <f>I117*J117</f>
        <v>150000</v>
      </c>
      <c r="L117" s="186">
        <f>K117*12</f>
        <v>1800000</v>
      </c>
      <c r="M117" s="186">
        <v>69000</v>
      </c>
      <c r="N117" s="186">
        <f t="shared" si="24"/>
        <v>828000</v>
      </c>
      <c r="O117" s="194">
        <f>L117+N117</f>
        <v>2628000</v>
      </c>
      <c r="P117" s="16"/>
    </row>
    <row r="118" spans="1:16" s="19" customFormat="1" ht="15" x14ac:dyDescent="0.25">
      <c r="A118" s="95"/>
      <c r="B118" s="106"/>
      <c r="C118" s="97"/>
      <c r="D118" s="97"/>
      <c r="E118" s="97"/>
      <c r="F118" s="97">
        <f>SUM(F111:F117)</f>
        <v>8</v>
      </c>
      <c r="G118" s="97"/>
      <c r="H118" s="97"/>
      <c r="I118" s="97"/>
      <c r="J118" s="107"/>
      <c r="K118" s="107"/>
      <c r="L118" s="17">
        <f>SUM(L111:L117)</f>
        <v>14400000</v>
      </c>
      <c r="M118" s="107"/>
      <c r="N118" s="17">
        <f>SUM(N111:N117)</f>
        <v>4968000</v>
      </c>
      <c r="O118" s="17">
        <f>SUM(O111:O117)</f>
        <v>19368000</v>
      </c>
      <c r="P118" s="16"/>
    </row>
    <row r="119" spans="1:16" s="11" customFormat="1" ht="15" x14ac:dyDescent="0.25">
      <c r="A119" s="271" t="s">
        <v>312</v>
      </c>
      <c r="B119" s="272"/>
      <c r="C119" s="272"/>
      <c r="D119" s="272"/>
      <c r="E119" s="272"/>
      <c r="F119" s="272"/>
      <c r="G119" s="272"/>
      <c r="H119" s="272"/>
      <c r="I119" s="272"/>
      <c r="J119" s="272"/>
      <c r="K119" s="272"/>
      <c r="L119" s="272"/>
      <c r="M119" s="272"/>
      <c r="N119" s="272"/>
      <c r="O119" s="272"/>
      <c r="P119" s="273"/>
    </row>
    <row r="120" spans="1:16" s="12" customFormat="1" ht="30" x14ac:dyDescent="0.25">
      <c r="A120" s="6">
        <v>1</v>
      </c>
      <c r="B120" s="192" t="s">
        <v>107</v>
      </c>
      <c r="C120" s="124" t="s">
        <v>110</v>
      </c>
      <c r="D120" s="124">
        <v>94</v>
      </c>
      <c r="E120" s="124" t="s">
        <v>59</v>
      </c>
      <c r="F120" s="124">
        <v>1</v>
      </c>
      <c r="G120" s="124">
        <v>2</v>
      </c>
      <c r="H120" s="124">
        <v>1.9</v>
      </c>
      <c r="I120" s="124">
        <f>G120*H120</f>
        <v>3.8</v>
      </c>
      <c r="J120" s="186">
        <v>50000</v>
      </c>
      <c r="K120" s="186">
        <f>I120*J120</f>
        <v>190000</v>
      </c>
      <c r="L120" s="186">
        <f>K120*12</f>
        <v>2280000</v>
      </c>
      <c r="M120" s="186">
        <v>69000</v>
      </c>
      <c r="N120" s="186">
        <f>M120*12</f>
        <v>828000</v>
      </c>
      <c r="O120" s="186">
        <f>L120+N120</f>
        <v>3108000</v>
      </c>
      <c r="P120" s="14"/>
    </row>
    <row r="121" spans="1:16" s="22" customFormat="1" ht="30" x14ac:dyDescent="0.25">
      <c r="A121" s="6">
        <v>2</v>
      </c>
      <c r="B121" s="192" t="s">
        <v>60</v>
      </c>
      <c r="C121" s="124" t="s">
        <v>112</v>
      </c>
      <c r="D121" s="124">
        <v>95</v>
      </c>
      <c r="E121" s="124" t="s">
        <v>91</v>
      </c>
      <c r="F121" s="124">
        <v>3</v>
      </c>
      <c r="G121" s="124">
        <v>6</v>
      </c>
      <c r="H121" s="124">
        <v>1.9</v>
      </c>
      <c r="I121" s="124">
        <f t="shared" ref="I121:I134" si="26">G121*H121</f>
        <v>11.399999999999999</v>
      </c>
      <c r="J121" s="186">
        <v>50000</v>
      </c>
      <c r="K121" s="186">
        <f>I121*J121</f>
        <v>569999.99999999988</v>
      </c>
      <c r="L121" s="186">
        <f>K121*12</f>
        <v>6839999.9999999981</v>
      </c>
      <c r="M121" s="186">
        <v>69000</v>
      </c>
      <c r="N121" s="186">
        <f t="shared" ref="N121:N125" si="27">M121*12</f>
        <v>828000</v>
      </c>
      <c r="O121" s="186">
        <f t="shared" ref="O121:O129" si="28">L121+N121</f>
        <v>7667999.9999999981</v>
      </c>
      <c r="P121" s="14"/>
    </row>
    <row r="122" spans="1:16" s="63" customFormat="1" ht="30" x14ac:dyDescent="0.25">
      <c r="A122" s="6">
        <v>3</v>
      </c>
      <c r="B122" s="199" t="s">
        <v>61</v>
      </c>
      <c r="C122" s="200" t="s">
        <v>113</v>
      </c>
      <c r="D122" s="124">
        <v>96</v>
      </c>
      <c r="E122" s="200" t="s">
        <v>59</v>
      </c>
      <c r="F122" s="200">
        <v>1</v>
      </c>
      <c r="G122" s="200">
        <v>2</v>
      </c>
      <c r="H122" s="200">
        <v>1.9</v>
      </c>
      <c r="I122" s="200">
        <f t="shared" si="26"/>
        <v>3.8</v>
      </c>
      <c r="J122" s="201">
        <v>50000</v>
      </c>
      <c r="K122" s="201">
        <f t="shared" ref="K122:K134" si="29">I122*J122</f>
        <v>190000</v>
      </c>
      <c r="L122" s="201">
        <f t="shared" ref="L122:L136" si="30">K122*12</f>
        <v>2280000</v>
      </c>
      <c r="M122" s="201">
        <v>69000</v>
      </c>
      <c r="N122" s="201">
        <f t="shared" si="27"/>
        <v>828000</v>
      </c>
      <c r="O122" s="201">
        <f t="shared" si="28"/>
        <v>3108000</v>
      </c>
      <c r="P122" s="62"/>
    </row>
    <row r="123" spans="1:16" s="12" customFormat="1" ht="30" x14ac:dyDescent="0.25">
      <c r="A123" s="6">
        <v>4</v>
      </c>
      <c r="B123" s="193" t="s">
        <v>426</v>
      </c>
      <c r="C123" s="124" t="s">
        <v>427</v>
      </c>
      <c r="D123" s="124">
        <v>97</v>
      </c>
      <c r="E123" s="124" t="s">
        <v>15</v>
      </c>
      <c r="F123" s="124">
        <v>1</v>
      </c>
      <c r="G123" s="124">
        <v>2</v>
      </c>
      <c r="H123" s="124">
        <v>1.9</v>
      </c>
      <c r="I123" s="124">
        <f t="shared" si="26"/>
        <v>3.8</v>
      </c>
      <c r="J123" s="186">
        <v>50000</v>
      </c>
      <c r="K123" s="186">
        <f t="shared" si="29"/>
        <v>190000</v>
      </c>
      <c r="L123" s="186">
        <f t="shared" si="30"/>
        <v>2280000</v>
      </c>
      <c r="M123" s="186"/>
      <c r="N123" s="186"/>
      <c r="O123" s="186">
        <f>L123</f>
        <v>2280000</v>
      </c>
      <c r="P123" s="14"/>
    </row>
    <row r="124" spans="1:16" s="12" customFormat="1" ht="30" x14ac:dyDescent="0.25">
      <c r="A124" s="6">
        <v>5</v>
      </c>
      <c r="B124" s="193" t="s">
        <v>219</v>
      </c>
      <c r="C124" s="124" t="s">
        <v>332</v>
      </c>
      <c r="D124" s="124">
        <v>98</v>
      </c>
      <c r="E124" s="124" t="s">
        <v>256</v>
      </c>
      <c r="F124" s="124">
        <v>1</v>
      </c>
      <c r="G124" s="124">
        <v>2</v>
      </c>
      <c r="H124" s="124">
        <v>1.9</v>
      </c>
      <c r="I124" s="124">
        <f t="shared" si="26"/>
        <v>3.8</v>
      </c>
      <c r="J124" s="186">
        <v>50000</v>
      </c>
      <c r="K124" s="186">
        <f t="shared" si="29"/>
        <v>190000</v>
      </c>
      <c r="L124" s="186">
        <f t="shared" si="30"/>
        <v>2280000</v>
      </c>
      <c r="M124" s="186">
        <v>69000</v>
      </c>
      <c r="N124" s="186">
        <f t="shared" si="27"/>
        <v>828000</v>
      </c>
      <c r="O124" s="186">
        <f t="shared" si="28"/>
        <v>3108000</v>
      </c>
      <c r="P124" s="14"/>
    </row>
    <row r="125" spans="1:16" s="12" customFormat="1" ht="30" x14ac:dyDescent="0.25">
      <c r="A125" s="6">
        <v>6</v>
      </c>
      <c r="B125" s="193" t="s">
        <v>451</v>
      </c>
      <c r="C125" s="124" t="s">
        <v>329</v>
      </c>
      <c r="D125" s="124">
        <v>99</v>
      </c>
      <c r="E125" s="124" t="s">
        <v>63</v>
      </c>
      <c r="F125" s="124">
        <v>1</v>
      </c>
      <c r="G125" s="124">
        <v>2</v>
      </c>
      <c r="H125" s="124">
        <v>1.9</v>
      </c>
      <c r="I125" s="124">
        <f t="shared" si="26"/>
        <v>3.8</v>
      </c>
      <c r="J125" s="186">
        <v>50000</v>
      </c>
      <c r="K125" s="186">
        <f t="shared" si="29"/>
        <v>190000</v>
      </c>
      <c r="L125" s="186">
        <f t="shared" si="30"/>
        <v>2280000</v>
      </c>
      <c r="M125" s="186">
        <v>69000</v>
      </c>
      <c r="N125" s="186">
        <f t="shared" si="27"/>
        <v>828000</v>
      </c>
      <c r="O125" s="186">
        <f t="shared" si="28"/>
        <v>3108000</v>
      </c>
      <c r="P125" s="14"/>
    </row>
    <row r="126" spans="1:16" s="12" customFormat="1" ht="30" x14ac:dyDescent="0.25">
      <c r="A126" s="6">
        <v>7</v>
      </c>
      <c r="B126" s="193" t="s">
        <v>208</v>
      </c>
      <c r="C126" s="124" t="s">
        <v>209</v>
      </c>
      <c r="D126" s="124">
        <v>100</v>
      </c>
      <c r="E126" s="124" t="s">
        <v>15</v>
      </c>
      <c r="F126" s="124">
        <v>1</v>
      </c>
      <c r="G126" s="124">
        <v>2</v>
      </c>
      <c r="H126" s="124">
        <v>1.9</v>
      </c>
      <c r="I126" s="124">
        <f t="shared" si="26"/>
        <v>3.8</v>
      </c>
      <c r="J126" s="186">
        <v>50000</v>
      </c>
      <c r="K126" s="186">
        <f t="shared" si="29"/>
        <v>190000</v>
      </c>
      <c r="L126" s="186">
        <f t="shared" si="30"/>
        <v>2280000</v>
      </c>
      <c r="M126" s="186"/>
      <c r="N126" s="186"/>
      <c r="O126" s="186">
        <f t="shared" si="28"/>
        <v>2280000</v>
      </c>
      <c r="P126" s="174"/>
    </row>
    <row r="127" spans="1:16" s="12" customFormat="1" ht="15" x14ac:dyDescent="0.25">
      <c r="A127" s="6">
        <v>8</v>
      </c>
      <c r="B127" s="192" t="s">
        <v>270</v>
      </c>
      <c r="C127" s="124" t="s">
        <v>235</v>
      </c>
      <c r="D127" s="124">
        <v>101</v>
      </c>
      <c r="E127" s="124" t="s">
        <v>58</v>
      </c>
      <c r="F127" s="124">
        <v>1</v>
      </c>
      <c r="G127" s="124">
        <v>2</v>
      </c>
      <c r="H127" s="124">
        <v>1.9</v>
      </c>
      <c r="I127" s="124">
        <f t="shared" si="26"/>
        <v>3.8</v>
      </c>
      <c r="J127" s="186">
        <v>50000</v>
      </c>
      <c r="K127" s="186">
        <f t="shared" si="29"/>
        <v>190000</v>
      </c>
      <c r="L127" s="186">
        <f t="shared" si="30"/>
        <v>2280000</v>
      </c>
      <c r="M127" s="186">
        <v>69000</v>
      </c>
      <c r="N127" s="186">
        <f>M127*12</f>
        <v>828000</v>
      </c>
      <c r="O127" s="186">
        <f t="shared" si="28"/>
        <v>3108000</v>
      </c>
      <c r="P127" s="230">
        <v>3108000</v>
      </c>
    </row>
    <row r="128" spans="1:16" s="12" customFormat="1" ht="15" x14ac:dyDescent="0.25">
      <c r="A128" s="6">
        <v>9</v>
      </c>
      <c r="B128" s="193" t="s">
        <v>64</v>
      </c>
      <c r="C128" s="124" t="s">
        <v>234</v>
      </c>
      <c r="D128" s="124">
        <v>102</v>
      </c>
      <c r="E128" s="124" t="s">
        <v>58</v>
      </c>
      <c r="F128" s="124">
        <v>1</v>
      </c>
      <c r="G128" s="124">
        <v>2</v>
      </c>
      <c r="H128" s="124">
        <v>1.9</v>
      </c>
      <c r="I128" s="124">
        <f t="shared" si="26"/>
        <v>3.8</v>
      </c>
      <c r="J128" s="186">
        <v>50000</v>
      </c>
      <c r="K128" s="186">
        <f t="shared" si="29"/>
        <v>190000</v>
      </c>
      <c r="L128" s="186">
        <f t="shared" si="30"/>
        <v>2280000</v>
      </c>
      <c r="M128" s="186">
        <v>69000</v>
      </c>
      <c r="N128" s="186">
        <f>M128*12</f>
        <v>828000</v>
      </c>
      <c r="O128" s="186">
        <f t="shared" si="28"/>
        <v>3108000</v>
      </c>
      <c r="P128" s="230"/>
    </row>
    <row r="129" spans="1:16" s="51" customFormat="1" ht="15" x14ac:dyDescent="0.25">
      <c r="A129" s="6">
        <v>10</v>
      </c>
      <c r="B129" s="192" t="s">
        <v>300</v>
      </c>
      <c r="C129" s="184" t="s">
        <v>279</v>
      </c>
      <c r="D129" s="124">
        <v>103</v>
      </c>
      <c r="E129" s="124" t="s">
        <v>58</v>
      </c>
      <c r="F129" s="124">
        <v>1</v>
      </c>
      <c r="G129" s="124">
        <v>2</v>
      </c>
      <c r="H129" s="124">
        <v>1.9</v>
      </c>
      <c r="I129" s="124">
        <f t="shared" si="26"/>
        <v>3.8</v>
      </c>
      <c r="J129" s="186">
        <v>50000</v>
      </c>
      <c r="K129" s="186">
        <f t="shared" si="29"/>
        <v>190000</v>
      </c>
      <c r="L129" s="186">
        <f t="shared" si="30"/>
        <v>2280000</v>
      </c>
      <c r="M129" s="186">
        <v>69000</v>
      </c>
      <c r="N129" s="186">
        <f>M129*12</f>
        <v>828000</v>
      </c>
      <c r="O129" s="186">
        <f t="shared" si="28"/>
        <v>3108000</v>
      </c>
      <c r="P129" s="230"/>
    </row>
    <row r="130" spans="1:16" s="12" customFormat="1" ht="30" x14ac:dyDescent="0.25">
      <c r="A130" s="6">
        <v>11</v>
      </c>
      <c r="B130" s="193" t="s">
        <v>457</v>
      </c>
      <c r="C130" s="124" t="s">
        <v>326</v>
      </c>
      <c r="D130" s="124">
        <v>104</v>
      </c>
      <c r="E130" s="124" t="s">
        <v>106</v>
      </c>
      <c r="F130" s="124">
        <v>1</v>
      </c>
      <c r="G130" s="124">
        <v>2</v>
      </c>
      <c r="H130" s="124">
        <v>1.9</v>
      </c>
      <c r="I130" s="124">
        <f t="shared" si="26"/>
        <v>3.8</v>
      </c>
      <c r="J130" s="186">
        <v>50000</v>
      </c>
      <c r="K130" s="186">
        <f t="shared" si="29"/>
        <v>190000</v>
      </c>
      <c r="L130" s="186">
        <f t="shared" si="30"/>
        <v>2280000</v>
      </c>
      <c r="M130" s="186"/>
      <c r="N130" s="186"/>
      <c r="O130" s="186">
        <f>L130+N130</f>
        <v>2280000</v>
      </c>
      <c r="P130" s="230"/>
    </row>
    <row r="131" spans="1:16" s="12" customFormat="1" ht="30" x14ac:dyDescent="0.25">
      <c r="A131" s="6">
        <v>12</v>
      </c>
      <c r="B131" s="193" t="s">
        <v>413</v>
      </c>
      <c r="C131" s="124" t="s">
        <v>414</v>
      </c>
      <c r="D131" s="124">
        <v>105</v>
      </c>
      <c r="E131" s="124" t="s">
        <v>62</v>
      </c>
      <c r="F131" s="124">
        <v>1</v>
      </c>
      <c r="G131" s="124">
        <v>2</v>
      </c>
      <c r="H131" s="124">
        <v>1.9</v>
      </c>
      <c r="I131" s="124">
        <f t="shared" si="26"/>
        <v>3.8</v>
      </c>
      <c r="J131" s="186">
        <v>50000</v>
      </c>
      <c r="K131" s="186">
        <f t="shared" si="29"/>
        <v>190000</v>
      </c>
      <c r="L131" s="186">
        <f t="shared" si="30"/>
        <v>2280000</v>
      </c>
      <c r="M131" s="186">
        <v>69000</v>
      </c>
      <c r="N131" s="186">
        <f>M131*12</f>
        <v>828000</v>
      </c>
      <c r="O131" s="186">
        <f>L131+N131</f>
        <v>3108000</v>
      </c>
      <c r="P131" s="230">
        <f>O131</f>
        <v>3108000</v>
      </c>
    </row>
    <row r="132" spans="1:16" s="12" customFormat="1" ht="15" x14ac:dyDescent="0.25">
      <c r="A132" s="6">
        <v>13</v>
      </c>
      <c r="B132" s="192" t="s">
        <v>435</v>
      </c>
      <c r="C132" s="124" t="s">
        <v>229</v>
      </c>
      <c r="D132" s="124">
        <v>106</v>
      </c>
      <c r="E132" s="124" t="s">
        <v>58</v>
      </c>
      <c r="F132" s="124">
        <v>1</v>
      </c>
      <c r="G132" s="124">
        <v>2</v>
      </c>
      <c r="H132" s="124">
        <v>1.9</v>
      </c>
      <c r="I132" s="124">
        <f t="shared" si="26"/>
        <v>3.8</v>
      </c>
      <c r="J132" s="186">
        <v>50000</v>
      </c>
      <c r="K132" s="186">
        <f t="shared" si="29"/>
        <v>190000</v>
      </c>
      <c r="L132" s="186">
        <f t="shared" si="30"/>
        <v>2280000</v>
      </c>
      <c r="M132" s="186">
        <v>69000</v>
      </c>
      <c r="N132" s="186">
        <f>M132*12</f>
        <v>828000</v>
      </c>
      <c r="O132" s="186">
        <f>L132+N132</f>
        <v>3108000</v>
      </c>
      <c r="P132" s="230"/>
    </row>
    <row r="133" spans="1:16" s="12" customFormat="1" ht="30" x14ac:dyDescent="0.25">
      <c r="A133" s="6">
        <v>14</v>
      </c>
      <c r="B133" s="192" t="s">
        <v>485</v>
      </c>
      <c r="C133" s="124" t="s">
        <v>241</v>
      </c>
      <c r="D133" s="124">
        <v>107</v>
      </c>
      <c r="E133" s="124" t="s">
        <v>58</v>
      </c>
      <c r="F133" s="124">
        <v>2</v>
      </c>
      <c r="G133" s="124">
        <v>2</v>
      </c>
      <c r="H133" s="124">
        <v>3.8</v>
      </c>
      <c r="I133" s="124">
        <f t="shared" si="26"/>
        <v>7.6</v>
      </c>
      <c r="J133" s="186">
        <v>50000</v>
      </c>
      <c r="K133" s="186">
        <f t="shared" si="29"/>
        <v>380000</v>
      </c>
      <c r="L133" s="186">
        <f t="shared" si="30"/>
        <v>4560000</v>
      </c>
      <c r="M133" s="186">
        <v>69000</v>
      </c>
      <c r="N133" s="186">
        <v>828000</v>
      </c>
      <c r="O133" s="186">
        <f>L133+N133</f>
        <v>5388000</v>
      </c>
      <c r="P133" s="230"/>
    </row>
    <row r="134" spans="1:16" s="94" customFormat="1" ht="15" x14ac:dyDescent="0.25">
      <c r="A134" s="73">
        <v>15</v>
      </c>
      <c r="B134" s="192" t="s">
        <v>20</v>
      </c>
      <c r="C134" s="124"/>
      <c r="D134" s="124">
        <v>108</v>
      </c>
      <c r="E134" s="124" t="s">
        <v>289</v>
      </c>
      <c r="F134" s="124">
        <v>1</v>
      </c>
      <c r="G134" s="124">
        <v>2</v>
      </c>
      <c r="H134" s="124">
        <v>1.9</v>
      </c>
      <c r="I134" s="124">
        <f t="shared" si="26"/>
        <v>3.8</v>
      </c>
      <c r="J134" s="186">
        <v>50000</v>
      </c>
      <c r="K134" s="186">
        <f t="shared" si="29"/>
        <v>190000</v>
      </c>
      <c r="L134" s="186">
        <f t="shared" si="30"/>
        <v>2280000</v>
      </c>
      <c r="M134" s="186"/>
      <c r="N134" s="186"/>
      <c r="O134" s="186">
        <v>2280000</v>
      </c>
      <c r="P134" s="175"/>
    </row>
    <row r="135" spans="1:16" s="94" customFormat="1" ht="15" x14ac:dyDescent="0.25">
      <c r="A135" s="73">
        <v>16</v>
      </c>
      <c r="B135" s="193" t="s">
        <v>415</v>
      </c>
      <c r="C135" s="193"/>
      <c r="D135" s="124">
        <v>109</v>
      </c>
      <c r="E135" s="188" t="s">
        <v>58</v>
      </c>
      <c r="F135" s="188">
        <v>1</v>
      </c>
      <c r="G135" s="188">
        <v>2</v>
      </c>
      <c r="H135" s="188">
        <v>1.9</v>
      </c>
      <c r="I135" s="188">
        <f>G135*H135</f>
        <v>3.8</v>
      </c>
      <c r="J135" s="194">
        <v>50000</v>
      </c>
      <c r="K135" s="194">
        <f>J135*I135</f>
        <v>190000</v>
      </c>
      <c r="L135" s="194">
        <f t="shared" si="30"/>
        <v>2280000</v>
      </c>
      <c r="M135" s="194">
        <v>69000</v>
      </c>
      <c r="N135" s="194">
        <f>M135*12</f>
        <v>828000</v>
      </c>
      <c r="O135" s="194">
        <f>L135+N135</f>
        <v>3108000</v>
      </c>
      <c r="P135" s="116"/>
    </row>
    <row r="136" spans="1:16" s="94" customFormat="1" ht="15" x14ac:dyDescent="0.25">
      <c r="A136" s="73">
        <v>17</v>
      </c>
      <c r="B136" s="193" t="s">
        <v>365</v>
      </c>
      <c r="C136" s="124" t="s">
        <v>397</v>
      </c>
      <c r="D136" s="124">
        <v>110</v>
      </c>
      <c r="E136" s="188" t="s">
        <v>78</v>
      </c>
      <c r="F136" s="188">
        <v>1</v>
      </c>
      <c r="G136" s="188">
        <v>2</v>
      </c>
      <c r="H136" s="188">
        <v>1.9</v>
      </c>
      <c r="I136" s="188">
        <f>G136*H136</f>
        <v>3.8</v>
      </c>
      <c r="J136" s="194">
        <v>50000</v>
      </c>
      <c r="K136" s="194">
        <f>J136*I136</f>
        <v>190000</v>
      </c>
      <c r="L136" s="194">
        <f t="shared" si="30"/>
        <v>2280000</v>
      </c>
      <c r="M136" s="194">
        <v>69000</v>
      </c>
      <c r="N136" s="194">
        <f>M136*12</f>
        <v>828000</v>
      </c>
      <c r="O136" s="194">
        <f>L136+N136</f>
        <v>3108000</v>
      </c>
      <c r="P136" s="116"/>
    </row>
    <row r="137" spans="1:16" s="94" customFormat="1" ht="15" x14ac:dyDescent="0.25">
      <c r="A137" s="110"/>
      <c r="B137" s="111"/>
      <c r="C137" s="112"/>
      <c r="D137" s="113"/>
      <c r="E137" s="113"/>
      <c r="F137" s="113">
        <f>SUM(F120:F136)</f>
        <v>20</v>
      </c>
      <c r="G137" s="113"/>
      <c r="H137" s="113"/>
      <c r="I137" s="113"/>
      <c r="J137" s="113"/>
      <c r="K137" s="114">
        <f>SUM(K120:K135)</f>
        <v>3610000</v>
      </c>
      <c r="L137" s="115">
        <f>SUM(L120:L135)</f>
        <v>43320000</v>
      </c>
      <c r="M137" s="114"/>
      <c r="N137" s="115">
        <f>SUM(N120:N136)</f>
        <v>10764000</v>
      </c>
      <c r="O137" s="115">
        <f>SUM(O120:O136)</f>
        <v>56364000</v>
      </c>
      <c r="P137" s="115"/>
    </row>
    <row r="138" spans="1:16" s="11" customFormat="1" ht="15" x14ac:dyDescent="0.25">
      <c r="A138" s="274" t="s">
        <v>313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6"/>
    </row>
    <row r="139" spans="1:16" s="12" customFormat="1" ht="15" x14ac:dyDescent="0.25">
      <c r="A139" s="6">
        <v>1</v>
      </c>
      <c r="B139" s="126" t="s">
        <v>43</v>
      </c>
      <c r="C139" s="6" t="s">
        <v>156</v>
      </c>
      <c r="D139" s="6">
        <v>111</v>
      </c>
      <c r="E139" s="6" t="s">
        <v>65</v>
      </c>
      <c r="F139" s="6">
        <v>1</v>
      </c>
      <c r="G139" s="6">
        <v>2</v>
      </c>
      <c r="H139" s="6">
        <v>1.5</v>
      </c>
      <c r="I139" s="13">
        <f t="shared" ref="I139:I144" si="31">G139*H139</f>
        <v>3</v>
      </c>
      <c r="J139" s="16">
        <v>50000</v>
      </c>
      <c r="K139" s="16">
        <f t="shared" ref="K139:K144" si="32">I139*J139</f>
        <v>150000</v>
      </c>
      <c r="L139" s="16">
        <f t="shared" ref="L139:L144" si="33">K139*12</f>
        <v>1800000</v>
      </c>
      <c r="M139" s="16"/>
      <c r="N139" s="16"/>
      <c r="O139" s="16">
        <f t="shared" ref="O139:O144" si="34">L139+N139</f>
        <v>1800000</v>
      </c>
      <c r="P139" s="230"/>
    </row>
    <row r="140" spans="1:16" s="12" customFormat="1" ht="15" x14ac:dyDescent="0.25">
      <c r="A140" s="6">
        <v>2</v>
      </c>
      <c r="B140" s="126" t="s">
        <v>66</v>
      </c>
      <c r="C140" s="6" t="s">
        <v>232</v>
      </c>
      <c r="D140" s="6">
        <v>112</v>
      </c>
      <c r="E140" s="6" t="s">
        <v>15</v>
      </c>
      <c r="F140" s="6">
        <v>2</v>
      </c>
      <c r="G140" s="6">
        <v>4</v>
      </c>
      <c r="H140" s="6">
        <v>1.5</v>
      </c>
      <c r="I140" s="13">
        <f t="shared" si="31"/>
        <v>6</v>
      </c>
      <c r="J140" s="16">
        <v>50000</v>
      </c>
      <c r="K140" s="16">
        <f t="shared" si="32"/>
        <v>300000</v>
      </c>
      <c r="L140" s="16">
        <f t="shared" si="33"/>
        <v>3600000</v>
      </c>
      <c r="M140" s="16">
        <v>69000</v>
      </c>
      <c r="N140" s="16">
        <f>M140*12</f>
        <v>828000</v>
      </c>
      <c r="O140" s="16">
        <f t="shared" si="34"/>
        <v>4428000</v>
      </c>
      <c r="P140" s="230">
        <v>4428000</v>
      </c>
    </row>
    <row r="141" spans="1:16" s="12" customFormat="1" ht="30" x14ac:dyDescent="0.25">
      <c r="A141" s="6">
        <v>3</v>
      </c>
      <c r="B141" s="72" t="s">
        <v>67</v>
      </c>
      <c r="C141" s="6" t="s">
        <v>135</v>
      </c>
      <c r="D141" s="6">
        <v>113</v>
      </c>
      <c r="E141" s="6" t="s">
        <v>15</v>
      </c>
      <c r="F141" s="6">
        <v>2</v>
      </c>
      <c r="G141" s="6">
        <v>4</v>
      </c>
      <c r="H141" s="6">
        <v>1.5</v>
      </c>
      <c r="I141" s="13">
        <f t="shared" si="31"/>
        <v>6</v>
      </c>
      <c r="J141" s="16">
        <v>50000</v>
      </c>
      <c r="K141" s="16">
        <f t="shared" si="32"/>
        <v>300000</v>
      </c>
      <c r="L141" s="16">
        <f t="shared" si="33"/>
        <v>3600000</v>
      </c>
      <c r="M141" s="16">
        <v>69000</v>
      </c>
      <c r="N141" s="16">
        <f t="shared" ref="N141:N144" si="35">M141*12</f>
        <v>828000</v>
      </c>
      <c r="O141" s="16">
        <f t="shared" si="34"/>
        <v>4428000</v>
      </c>
      <c r="P141" s="230">
        <f>O141</f>
        <v>4428000</v>
      </c>
    </row>
    <row r="142" spans="1:16" s="12" customFormat="1" ht="30" x14ac:dyDescent="0.25">
      <c r="A142" s="6">
        <v>4</v>
      </c>
      <c r="B142" s="72" t="s">
        <v>68</v>
      </c>
      <c r="C142" s="6" t="s">
        <v>199</v>
      </c>
      <c r="D142" s="6">
        <v>114</v>
      </c>
      <c r="E142" s="6" t="s">
        <v>15</v>
      </c>
      <c r="F142" s="6">
        <v>2</v>
      </c>
      <c r="G142" s="6">
        <v>4</v>
      </c>
      <c r="H142" s="6">
        <v>1.5</v>
      </c>
      <c r="I142" s="13">
        <f t="shared" si="31"/>
        <v>6</v>
      </c>
      <c r="J142" s="16">
        <v>50000</v>
      </c>
      <c r="K142" s="16">
        <f t="shared" si="32"/>
        <v>300000</v>
      </c>
      <c r="L142" s="16">
        <f t="shared" si="33"/>
        <v>3600000</v>
      </c>
      <c r="M142" s="16">
        <v>69000</v>
      </c>
      <c r="N142" s="16">
        <f t="shared" si="35"/>
        <v>828000</v>
      </c>
      <c r="O142" s="16">
        <f t="shared" si="34"/>
        <v>4428000</v>
      </c>
      <c r="P142" s="230">
        <f>O142</f>
        <v>4428000</v>
      </c>
    </row>
    <row r="143" spans="1:16" s="12" customFormat="1" ht="15" x14ac:dyDescent="0.25">
      <c r="A143" s="6">
        <v>5</v>
      </c>
      <c r="B143" s="72" t="s">
        <v>69</v>
      </c>
      <c r="C143" s="6" t="s">
        <v>161</v>
      </c>
      <c r="D143" s="6">
        <v>115</v>
      </c>
      <c r="E143" s="6">
        <v>0</v>
      </c>
      <c r="F143" s="6">
        <v>1</v>
      </c>
      <c r="G143" s="6">
        <v>2</v>
      </c>
      <c r="H143" s="6">
        <v>1.5</v>
      </c>
      <c r="I143" s="13">
        <f t="shared" si="31"/>
        <v>3</v>
      </c>
      <c r="J143" s="16">
        <v>50000</v>
      </c>
      <c r="K143" s="16">
        <f t="shared" si="32"/>
        <v>150000</v>
      </c>
      <c r="L143" s="16">
        <f t="shared" si="33"/>
        <v>1800000</v>
      </c>
      <c r="M143" s="16">
        <v>69000</v>
      </c>
      <c r="N143" s="16">
        <f t="shared" si="35"/>
        <v>828000</v>
      </c>
      <c r="O143" s="16">
        <f t="shared" si="34"/>
        <v>2628000</v>
      </c>
      <c r="P143" s="230"/>
    </row>
    <row r="144" spans="1:16" s="12" customFormat="1" ht="30" x14ac:dyDescent="0.25">
      <c r="A144" s="6">
        <v>6</v>
      </c>
      <c r="B144" s="126" t="s">
        <v>340</v>
      </c>
      <c r="C144" s="6" t="s">
        <v>348</v>
      </c>
      <c r="D144" s="6">
        <v>116</v>
      </c>
      <c r="E144" s="6" t="s">
        <v>49</v>
      </c>
      <c r="F144" s="6">
        <v>1</v>
      </c>
      <c r="G144" s="6">
        <v>2</v>
      </c>
      <c r="H144" s="6">
        <v>1.5</v>
      </c>
      <c r="I144" s="13">
        <f t="shared" si="31"/>
        <v>3</v>
      </c>
      <c r="J144" s="16">
        <v>50000</v>
      </c>
      <c r="K144" s="16">
        <f t="shared" si="32"/>
        <v>150000</v>
      </c>
      <c r="L144" s="16">
        <f t="shared" si="33"/>
        <v>1800000</v>
      </c>
      <c r="M144" s="16">
        <v>69000</v>
      </c>
      <c r="N144" s="16">
        <f t="shared" si="35"/>
        <v>828000</v>
      </c>
      <c r="O144" s="16">
        <f t="shared" si="34"/>
        <v>2628000</v>
      </c>
      <c r="P144" s="230"/>
    </row>
    <row r="145" spans="1:16" s="12" customFormat="1" ht="15" x14ac:dyDescent="0.25">
      <c r="B145" s="72"/>
      <c r="C145" s="6"/>
      <c r="D145" s="6"/>
      <c r="E145" s="6"/>
      <c r="F145" s="6">
        <f>SUM(F139:F144)</f>
        <v>9</v>
      </c>
      <c r="G145" s="6"/>
      <c r="H145" s="6"/>
      <c r="I145" s="13"/>
      <c r="J145" s="16"/>
      <c r="K145" s="16"/>
      <c r="L145" s="17">
        <f>SUM(L139:L144)</f>
        <v>16200000</v>
      </c>
      <c r="M145" s="16"/>
      <c r="N145" s="17">
        <f>SUM(N139:N144)</f>
        <v>4140000</v>
      </c>
      <c r="O145" s="17">
        <f>SUM(O139:O144)</f>
        <v>20340000</v>
      </c>
      <c r="P145" s="26"/>
    </row>
    <row r="146" spans="1:16" s="25" customFormat="1" ht="14.25" x14ac:dyDescent="0.2">
      <c r="B146" s="87" t="s">
        <v>277</v>
      </c>
      <c r="C146" s="34"/>
      <c r="D146" s="34"/>
      <c r="E146" s="34"/>
      <c r="F146" s="34"/>
      <c r="G146" s="34"/>
      <c r="H146" s="34"/>
      <c r="I146" s="71"/>
      <c r="J146" s="17"/>
      <c r="K146" s="17"/>
      <c r="L146" s="17"/>
      <c r="M146" s="17"/>
      <c r="N146" s="17"/>
      <c r="O146" s="17"/>
      <c r="P146" s="79"/>
    </row>
    <row r="147" spans="1:16" s="12" customFormat="1" ht="15" x14ac:dyDescent="0.25">
      <c r="A147" s="6">
        <v>1</v>
      </c>
      <c r="B147" s="126" t="s">
        <v>275</v>
      </c>
      <c r="C147" s="73" t="s">
        <v>188</v>
      </c>
      <c r="D147" s="6">
        <v>117</v>
      </c>
      <c r="E147" s="6" t="s">
        <v>276</v>
      </c>
      <c r="F147" s="6">
        <v>1</v>
      </c>
      <c r="G147" s="6"/>
      <c r="H147" s="6"/>
      <c r="I147" s="13"/>
      <c r="J147" s="16"/>
      <c r="K147" s="16">
        <v>3100000</v>
      </c>
      <c r="L147" s="16">
        <f>K147*12</f>
        <v>37200000</v>
      </c>
      <c r="M147" s="16"/>
      <c r="N147" s="16"/>
      <c r="O147" s="91">
        <f>9300000*4</f>
        <v>37200000</v>
      </c>
      <c r="P147" s="176"/>
    </row>
    <row r="148" spans="1:16" s="12" customFormat="1" ht="15" x14ac:dyDescent="0.25">
      <c r="A148" s="6">
        <v>2</v>
      </c>
      <c r="B148" s="126" t="s">
        <v>476</v>
      </c>
      <c r="C148" s="6" t="s">
        <v>478</v>
      </c>
      <c r="D148" s="6">
        <v>118</v>
      </c>
      <c r="E148" s="6" t="s">
        <v>278</v>
      </c>
      <c r="F148" s="6">
        <v>1</v>
      </c>
      <c r="G148" s="6"/>
      <c r="H148" s="6"/>
      <c r="I148" s="13"/>
      <c r="J148" s="16"/>
      <c r="K148" s="16">
        <v>1500000</v>
      </c>
      <c r="L148" s="16">
        <f>K148*12</f>
        <v>18000000</v>
      </c>
      <c r="M148" s="16"/>
      <c r="N148" s="16"/>
      <c r="O148" s="91">
        <f>1500000*12</f>
        <v>18000000</v>
      </c>
      <c r="P148" s="177">
        <v>9000000</v>
      </c>
    </row>
    <row r="149" spans="1:16" s="12" customFormat="1" ht="15" x14ac:dyDescent="0.25">
      <c r="A149" s="6"/>
      <c r="B149" s="72"/>
      <c r="C149" s="6"/>
      <c r="D149" s="6"/>
      <c r="E149" s="6"/>
      <c r="F149" s="6">
        <f>SUM(F147:F148)</f>
        <v>2</v>
      </c>
      <c r="G149" s="6"/>
      <c r="H149" s="6"/>
      <c r="I149" s="13"/>
      <c r="J149" s="16"/>
      <c r="K149" s="16"/>
      <c r="L149" s="115">
        <f>SUM(L147:L148)</f>
        <v>55200000</v>
      </c>
      <c r="M149" s="16"/>
      <c r="N149" s="16"/>
      <c r="O149" s="115">
        <f>SUM(O147:O148)</f>
        <v>55200000</v>
      </c>
      <c r="P149" s="115"/>
    </row>
    <row r="150" spans="1:16" s="11" customFormat="1" ht="15" x14ac:dyDescent="0.25">
      <c r="A150" s="4" t="s">
        <v>314</v>
      </c>
      <c r="B150" s="84"/>
      <c r="C150" s="10"/>
      <c r="D150" s="9"/>
      <c r="E150" s="10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32"/>
    </row>
    <row r="151" spans="1:16" s="12" customFormat="1" ht="30" x14ac:dyDescent="0.25">
      <c r="A151" s="6">
        <v>1</v>
      </c>
      <c r="B151" s="193" t="s">
        <v>282</v>
      </c>
      <c r="C151" s="124" t="s">
        <v>225</v>
      </c>
      <c r="D151" s="124">
        <v>119</v>
      </c>
      <c r="E151" s="124" t="s">
        <v>59</v>
      </c>
      <c r="F151" s="124">
        <v>1</v>
      </c>
      <c r="G151" s="124">
        <v>2</v>
      </c>
      <c r="H151" s="124">
        <v>2</v>
      </c>
      <c r="I151" s="124">
        <f>G151*H151</f>
        <v>4</v>
      </c>
      <c r="J151" s="186">
        <v>68000</v>
      </c>
      <c r="K151" s="186">
        <f>I151*J151</f>
        <v>272000</v>
      </c>
      <c r="L151" s="186">
        <f>K151*12</f>
        <v>3264000</v>
      </c>
      <c r="M151" s="194">
        <v>69000</v>
      </c>
      <c r="N151" s="194">
        <f>M151*12</f>
        <v>828000</v>
      </c>
      <c r="O151" s="186">
        <f>L151+N151</f>
        <v>4092000</v>
      </c>
      <c r="P151" s="54"/>
    </row>
    <row r="152" spans="1:16" s="12" customFormat="1" ht="15" x14ac:dyDescent="0.25">
      <c r="A152" s="6">
        <v>2</v>
      </c>
      <c r="B152" s="193" t="s">
        <v>66</v>
      </c>
      <c r="C152" s="124" t="s">
        <v>213</v>
      </c>
      <c r="D152" s="124">
        <v>120</v>
      </c>
      <c r="E152" s="124" t="s">
        <v>59</v>
      </c>
      <c r="F152" s="124">
        <v>1</v>
      </c>
      <c r="G152" s="124">
        <v>2</v>
      </c>
      <c r="H152" s="124">
        <v>2</v>
      </c>
      <c r="I152" s="124">
        <f t="shared" ref="I152:I189" si="36">G152*H152</f>
        <v>4</v>
      </c>
      <c r="J152" s="186">
        <v>68000</v>
      </c>
      <c r="K152" s="186">
        <f t="shared" ref="K152:K190" si="37">I152*J152</f>
        <v>272000</v>
      </c>
      <c r="L152" s="186">
        <f t="shared" ref="L152:L190" si="38">K152*12</f>
        <v>3264000</v>
      </c>
      <c r="M152" s="186">
        <v>69000</v>
      </c>
      <c r="N152" s="186">
        <f t="shared" ref="N152:N193" si="39">M152*12</f>
        <v>828000</v>
      </c>
      <c r="O152" s="186">
        <f t="shared" ref="O152:O190" si="40">L152+N152</f>
        <v>4092000</v>
      </c>
      <c r="P152" s="14"/>
    </row>
    <row r="153" spans="1:16" s="51" customFormat="1" ht="15" x14ac:dyDescent="0.25">
      <c r="A153" s="6">
        <v>3</v>
      </c>
      <c r="B153" s="193" t="s">
        <v>70</v>
      </c>
      <c r="C153" s="184" t="s">
        <v>290</v>
      </c>
      <c r="D153" s="124">
        <v>121</v>
      </c>
      <c r="E153" s="124" t="s">
        <v>59</v>
      </c>
      <c r="F153" s="124">
        <v>1</v>
      </c>
      <c r="G153" s="124">
        <v>2</v>
      </c>
      <c r="H153" s="124">
        <v>2</v>
      </c>
      <c r="I153" s="124">
        <f t="shared" si="36"/>
        <v>4</v>
      </c>
      <c r="J153" s="186">
        <v>68000</v>
      </c>
      <c r="K153" s="186">
        <f t="shared" si="37"/>
        <v>272000</v>
      </c>
      <c r="L153" s="186">
        <f t="shared" si="38"/>
        <v>3264000</v>
      </c>
      <c r="M153" s="186">
        <v>69000</v>
      </c>
      <c r="N153" s="186">
        <f t="shared" si="39"/>
        <v>828000</v>
      </c>
      <c r="O153" s="186">
        <f t="shared" si="40"/>
        <v>4092000</v>
      </c>
      <c r="P153" s="178"/>
    </row>
    <row r="154" spans="1:16" s="12" customFormat="1" ht="30" x14ac:dyDescent="0.25">
      <c r="A154" s="6">
        <v>4</v>
      </c>
      <c r="B154" s="193" t="s">
        <v>71</v>
      </c>
      <c r="C154" s="124" t="s">
        <v>218</v>
      </c>
      <c r="D154" s="124">
        <v>122</v>
      </c>
      <c r="E154" s="124" t="s">
        <v>59</v>
      </c>
      <c r="F154" s="124">
        <v>1</v>
      </c>
      <c r="G154" s="124">
        <v>2</v>
      </c>
      <c r="H154" s="124">
        <v>2</v>
      </c>
      <c r="I154" s="124">
        <f t="shared" si="36"/>
        <v>4</v>
      </c>
      <c r="J154" s="186">
        <v>68000</v>
      </c>
      <c r="K154" s="186">
        <f>I154*J154</f>
        <v>272000</v>
      </c>
      <c r="L154" s="186">
        <f t="shared" si="38"/>
        <v>3264000</v>
      </c>
      <c r="M154" s="186">
        <v>69000</v>
      </c>
      <c r="N154" s="186">
        <f t="shared" si="39"/>
        <v>828000</v>
      </c>
      <c r="O154" s="186">
        <f t="shared" si="40"/>
        <v>4092000</v>
      </c>
      <c r="P154" s="82"/>
    </row>
    <row r="155" spans="1:16" s="12" customFormat="1" ht="15" x14ac:dyDescent="0.25">
      <c r="A155" s="6">
        <v>5</v>
      </c>
      <c r="B155" s="192" t="s">
        <v>72</v>
      </c>
      <c r="C155" s="124" t="s">
        <v>171</v>
      </c>
      <c r="D155" s="124">
        <v>123</v>
      </c>
      <c r="E155" s="124" t="s">
        <v>59</v>
      </c>
      <c r="F155" s="124">
        <v>1</v>
      </c>
      <c r="G155" s="124">
        <v>2</v>
      </c>
      <c r="H155" s="124">
        <v>2</v>
      </c>
      <c r="I155" s="124">
        <f t="shared" si="36"/>
        <v>4</v>
      </c>
      <c r="J155" s="186">
        <v>68000</v>
      </c>
      <c r="K155" s="186">
        <f t="shared" si="37"/>
        <v>272000</v>
      </c>
      <c r="L155" s="186">
        <f t="shared" si="38"/>
        <v>3264000</v>
      </c>
      <c r="M155" s="186">
        <v>69000</v>
      </c>
      <c r="N155" s="186">
        <f t="shared" si="39"/>
        <v>828000</v>
      </c>
      <c r="O155" s="186">
        <f t="shared" si="40"/>
        <v>4092000</v>
      </c>
      <c r="P155" s="14"/>
    </row>
    <row r="156" spans="1:16" s="12" customFormat="1" ht="15" x14ac:dyDescent="0.25">
      <c r="A156" s="6">
        <v>6</v>
      </c>
      <c r="B156" s="192" t="s">
        <v>73</v>
      </c>
      <c r="C156" s="124"/>
      <c r="D156" s="124">
        <v>124</v>
      </c>
      <c r="E156" s="124" t="s">
        <v>59</v>
      </c>
      <c r="F156" s="124">
        <v>2</v>
      </c>
      <c r="G156" s="124">
        <v>4</v>
      </c>
      <c r="H156" s="124">
        <v>2</v>
      </c>
      <c r="I156" s="124">
        <f t="shared" si="36"/>
        <v>8</v>
      </c>
      <c r="J156" s="186">
        <v>68000</v>
      </c>
      <c r="K156" s="186">
        <f t="shared" si="37"/>
        <v>544000</v>
      </c>
      <c r="L156" s="186">
        <f t="shared" si="38"/>
        <v>6528000</v>
      </c>
      <c r="M156" s="186">
        <v>69000</v>
      </c>
      <c r="N156" s="186">
        <f t="shared" si="39"/>
        <v>828000</v>
      </c>
      <c r="O156" s="186">
        <f t="shared" si="40"/>
        <v>7356000</v>
      </c>
      <c r="P156" s="14"/>
    </row>
    <row r="157" spans="1:16" s="12" customFormat="1" ht="15" x14ac:dyDescent="0.25">
      <c r="A157" s="6">
        <v>7</v>
      </c>
      <c r="B157" s="192" t="s">
        <v>395</v>
      </c>
      <c r="C157" s="124" t="s">
        <v>178</v>
      </c>
      <c r="D157" s="124">
        <v>125</v>
      </c>
      <c r="E157" s="124" t="s">
        <v>59</v>
      </c>
      <c r="F157" s="124">
        <v>2</v>
      </c>
      <c r="G157" s="124">
        <v>4</v>
      </c>
      <c r="H157" s="124">
        <v>2</v>
      </c>
      <c r="I157" s="124">
        <f t="shared" si="36"/>
        <v>8</v>
      </c>
      <c r="J157" s="186">
        <v>68000</v>
      </c>
      <c r="K157" s="186">
        <f t="shared" si="37"/>
        <v>544000</v>
      </c>
      <c r="L157" s="186">
        <f t="shared" si="38"/>
        <v>6528000</v>
      </c>
      <c r="M157" s="186">
        <v>69000</v>
      </c>
      <c r="N157" s="186">
        <f t="shared" si="39"/>
        <v>828000</v>
      </c>
      <c r="O157" s="186">
        <f t="shared" si="40"/>
        <v>7356000</v>
      </c>
      <c r="P157" s="14"/>
    </row>
    <row r="158" spans="1:16" s="22" customFormat="1" ht="30" x14ac:dyDescent="0.25">
      <c r="A158" s="6">
        <v>8</v>
      </c>
      <c r="B158" s="192" t="s">
        <v>382</v>
      </c>
      <c r="C158" s="124" t="s">
        <v>416</v>
      </c>
      <c r="D158" s="124">
        <v>126</v>
      </c>
      <c r="E158" s="124" t="s">
        <v>65</v>
      </c>
      <c r="F158" s="203">
        <v>1</v>
      </c>
      <c r="G158" s="124">
        <v>2</v>
      </c>
      <c r="H158" s="124">
        <v>2</v>
      </c>
      <c r="I158" s="124">
        <f>G158*H158</f>
        <v>4</v>
      </c>
      <c r="J158" s="186">
        <v>68000</v>
      </c>
      <c r="K158" s="186">
        <f>I158*J158</f>
        <v>272000</v>
      </c>
      <c r="L158" s="186">
        <f>K158*12</f>
        <v>3264000</v>
      </c>
      <c r="M158" s="186">
        <v>69000</v>
      </c>
      <c r="N158" s="186">
        <f>M158*12</f>
        <v>828000</v>
      </c>
      <c r="O158" s="186">
        <f>L158+N158</f>
        <v>4092000</v>
      </c>
      <c r="P158" s="69"/>
    </row>
    <row r="159" spans="1:16" s="22" customFormat="1" ht="30" x14ac:dyDescent="0.25">
      <c r="A159" s="6">
        <v>9</v>
      </c>
      <c r="B159" s="192" t="s">
        <v>377</v>
      </c>
      <c r="C159" s="124" t="s">
        <v>399</v>
      </c>
      <c r="D159" s="124">
        <v>127</v>
      </c>
      <c r="E159" s="124" t="s">
        <v>379</v>
      </c>
      <c r="F159" s="203">
        <v>1</v>
      </c>
      <c r="G159" s="124">
        <v>2</v>
      </c>
      <c r="H159" s="124">
        <v>2</v>
      </c>
      <c r="I159" s="124">
        <f>G159*H159</f>
        <v>4</v>
      </c>
      <c r="J159" s="186">
        <v>68000</v>
      </c>
      <c r="K159" s="186">
        <f>I159*J159</f>
        <v>272000</v>
      </c>
      <c r="L159" s="186">
        <f>K159*12</f>
        <v>3264000</v>
      </c>
      <c r="M159" s="186">
        <v>69000</v>
      </c>
      <c r="N159" s="186">
        <f>M159*12</f>
        <v>828000</v>
      </c>
      <c r="O159" s="186">
        <f>L159+N159</f>
        <v>4092000</v>
      </c>
      <c r="P159" s="69"/>
    </row>
    <row r="160" spans="1:16" s="12" customFormat="1" ht="30" x14ac:dyDescent="0.25">
      <c r="A160" s="6">
        <v>10</v>
      </c>
      <c r="B160" s="192" t="s">
        <v>126</v>
      </c>
      <c r="C160" s="124" t="s">
        <v>110</v>
      </c>
      <c r="D160" s="124">
        <v>128</v>
      </c>
      <c r="E160" s="124" t="s">
        <v>59</v>
      </c>
      <c r="F160" s="124">
        <v>1</v>
      </c>
      <c r="G160" s="124">
        <v>2</v>
      </c>
      <c r="H160" s="124">
        <v>2</v>
      </c>
      <c r="I160" s="124">
        <f t="shared" si="36"/>
        <v>4</v>
      </c>
      <c r="J160" s="186">
        <v>68000</v>
      </c>
      <c r="K160" s="186">
        <f t="shared" si="37"/>
        <v>272000</v>
      </c>
      <c r="L160" s="186">
        <f t="shared" si="38"/>
        <v>3264000</v>
      </c>
      <c r="M160" s="186"/>
      <c r="N160" s="186"/>
      <c r="O160" s="186">
        <f t="shared" si="40"/>
        <v>3264000</v>
      </c>
      <c r="P160" s="14"/>
    </row>
    <row r="161" spans="1:17" s="12" customFormat="1" ht="30" x14ac:dyDescent="0.25">
      <c r="A161" s="6">
        <v>11</v>
      </c>
      <c r="B161" s="192" t="s">
        <v>74</v>
      </c>
      <c r="C161" s="124" t="s">
        <v>227</v>
      </c>
      <c r="D161" s="124">
        <v>129</v>
      </c>
      <c r="E161" s="124" t="s">
        <v>59</v>
      </c>
      <c r="F161" s="124">
        <v>1</v>
      </c>
      <c r="G161" s="124">
        <v>2</v>
      </c>
      <c r="H161" s="124">
        <v>2</v>
      </c>
      <c r="I161" s="124">
        <f t="shared" si="36"/>
        <v>4</v>
      </c>
      <c r="J161" s="186">
        <v>68000</v>
      </c>
      <c r="K161" s="186">
        <f t="shared" si="37"/>
        <v>272000</v>
      </c>
      <c r="L161" s="186">
        <f t="shared" si="38"/>
        <v>3264000</v>
      </c>
      <c r="M161" s="186">
        <v>69000</v>
      </c>
      <c r="N161" s="186">
        <f t="shared" si="39"/>
        <v>828000</v>
      </c>
      <c r="O161" s="186">
        <f t="shared" si="40"/>
        <v>4092000</v>
      </c>
      <c r="P161" s="14"/>
    </row>
    <row r="162" spans="1:17" s="12" customFormat="1" ht="15" x14ac:dyDescent="0.25">
      <c r="A162" s="6">
        <v>12</v>
      </c>
      <c r="B162" s="193" t="s">
        <v>75</v>
      </c>
      <c r="C162" s="188" t="s">
        <v>239</v>
      </c>
      <c r="D162" s="124">
        <v>130</v>
      </c>
      <c r="E162" s="124" t="s">
        <v>59</v>
      </c>
      <c r="F162" s="124">
        <v>1</v>
      </c>
      <c r="G162" s="124">
        <v>2</v>
      </c>
      <c r="H162" s="124">
        <v>2</v>
      </c>
      <c r="I162" s="124">
        <f t="shared" si="36"/>
        <v>4</v>
      </c>
      <c r="J162" s="186">
        <v>68000</v>
      </c>
      <c r="K162" s="186">
        <f t="shared" si="37"/>
        <v>272000</v>
      </c>
      <c r="L162" s="186">
        <f t="shared" si="38"/>
        <v>3264000</v>
      </c>
      <c r="M162" s="186">
        <v>69000</v>
      </c>
      <c r="N162" s="186">
        <f>M162*12</f>
        <v>828000</v>
      </c>
      <c r="O162" s="186">
        <f t="shared" si="40"/>
        <v>4092000</v>
      </c>
      <c r="P162" s="82"/>
    </row>
    <row r="163" spans="1:17" s="209" customFormat="1" ht="30" x14ac:dyDescent="0.25">
      <c r="A163" s="6">
        <v>13</v>
      </c>
      <c r="B163" s="193" t="s">
        <v>76</v>
      </c>
      <c r="C163" s="188" t="s">
        <v>198</v>
      </c>
      <c r="D163" s="124">
        <v>131</v>
      </c>
      <c r="E163" s="188" t="s">
        <v>62</v>
      </c>
      <c r="F163" s="188">
        <v>2</v>
      </c>
      <c r="G163" s="188">
        <v>4</v>
      </c>
      <c r="H163" s="188">
        <v>2</v>
      </c>
      <c r="I163" s="188">
        <f t="shared" si="36"/>
        <v>8</v>
      </c>
      <c r="J163" s="194">
        <v>68000</v>
      </c>
      <c r="K163" s="194">
        <f t="shared" si="37"/>
        <v>544000</v>
      </c>
      <c r="L163" s="194">
        <f t="shared" si="38"/>
        <v>6528000</v>
      </c>
      <c r="M163" s="194">
        <v>69000</v>
      </c>
      <c r="N163" s="194">
        <f t="shared" si="39"/>
        <v>828000</v>
      </c>
      <c r="O163" s="194">
        <f t="shared" si="40"/>
        <v>7356000</v>
      </c>
      <c r="P163" s="175"/>
    </row>
    <row r="164" spans="1:17" s="94" customFormat="1" ht="30" x14ac:dyDescent="0.25">
      <c r="A164" s="6">
        <v>14</v>
      </c>
      <c r="B164" s="204" t="s">
        <v>417</v>
      </c>
      <c r="C164" s="188" t="s">
        <v>198</v>
      </c>
      <c r="D164" s="124">
        <v>132</v>
      </c>
      <c r="E164" s="188" t="s">
        <v>62</v>
      </c>
      <c r="F164" s="188">
        <v>1</v>
      </c>
      <c r="G164" s="188">
        <v>2</v>
      </c>
      <c r="H164" s="188">
        <v>2</v>
      </c>
      <c r="I164" s="188">
        <f t="shared" si="36"/>
        <v>4</v>
      </c>
      <c r="J164" s="194">
        <v>68000</v>
      </c>
      <c r="K164" s="194">
        <f t="shared" si="37"/>
        <v>272000</v>
      </c>
      <c r="L164" s="194">
        <f t="shared" si="38"/>
        <v>3264000</v>
      </c>
      <c r="M164" s="194">
        <v>69000</v>
      </c>
      <c r="N164" s="194">
        <f t="shared" si="39"/>
        <v>828000</v>
      </c>
      <c r="O164" s="194">
        <f>L164+N164</f>
        <v>4092000</v>
      </c>
      <c r="P164" s="175"/>
      <c r="Q164" s="179"/>
    </row>
    <row r="165" spans="1:17" s="63" customFormat="1" ht="30" x14ac:dyDescent="0.25">
      <c r="A165" s="6">
        <v>15</v>
      </c>
      <c r="B165" s="199" t="s">
        <v>77</v>
      </c>
      <c r="C165" s="200" t="s">
        <v>194</v>
      </c>
      <c r="D165" s="124">
        <v>133</v>
      </c>
      <c r="E165" s="200" t="s">
        <v>62</v>
      </c>
      <c r="F165" s="200">
        <v>1</v>
      </c>
      <c r="G165" s="200">
        <v>2</v>
      </c>
      <c r="H165" s="200">
        <v>2</v>
      </c>
      <c r="I165" s="200">
        <f t="shared" si="36"/>
        <v>4</v>
      </c>
      <c r="J165" s="201">
        <v>68000</v>
      </c>
      <c r="K165" s="201">
        <f t="shared" si="37"/>
        <v>272000</v>
      </c>
      <c r="L165" s="201">
        <f t="shared" si="38"/>
        <v>3264000</v>
      </c>
      <c r="M165" s="201">
        <v>69000</v>
      </c>
      <c r="N165" s="201">
        <f t="shared" si="39"/>
        <v>828000</v>
      </c>
      <c r="O165" s="201">
        <f t="shared" si="40"/>
        <v>4092000</v>
      </c>
      <c r="P165" s="258">
        <v>4092000</v>
      </c>
    </row>
    <row r="166" spans="1:17" s="12" customFormat="1" ht="30" x14ac:dyDescent="0.25">
      <c r="A166" s="6">
        <v>16</v>
      </c>
      <c r="B166" s="192" t="s">
        <v>436</v>
      </c>
      <c r="C166" s="124" t="s">
        <v>437</v>
      </c>
      <c r="D166" s="124">
        <v>134</v>
      </c>
      <c r="E166" s="124" t="s">
        <v>62</v>
      </c>
      <c r="F166" s="124">
        <v>1</v>
      </c>
      <c r="G166" s="124">
        <v>2</v>
      </c>
      <c r="H166" s="124">
        <v>2</v>
      </c>
      <c r="I166" s="124">
        <f t="shared" si="36"/>
        <v>4</v>
      </c>
      <c r="J166" s="186">
        <v>68000</v>
      </c>
      <c r="K166" s="186">
        <f t="shared" si="37"/>
        <v>272000</v>
      </c>
      <c r="L166" s="186">
        <f t="shared" si="38"/>
        <v>3264000</v>
      </c>
      <c r="M166" s="186">
        <v>69000</v>
      </c>
      <c r="N166" s="186">
        <f t="shared" si="39"/>
        <v>828000</v>
      </c>
      <c r="O166" s="186">
        <f t="shared" si="40"/>
        <v>4092000</v>
      </c>
      <c r="P166" s="174"/>
    </row>
    <row r="167" spans="1:17" s="12" customFormat="1" ht="15" x14ac:dyDescent="0.25">
      <c r="A167" s="6"/>
      <c r="B167" s="192" t="s">
        <v>452</v>
      </c>
      <c r="C167" s="124" t="s">
        <v>453</v>
      </c>
      <c r="D167" s="124">
        <v>183</v>
      </c>
      <c r="E167" s="124" t="s">
        <v>62</v>
      </c>
      <c r="F167" s="124">
        <v>1</v>
      </c>
      <c r="G167" s="124">
        <v>2</v>
      </c>
      <c r="H167" s="124">
        <v>2</v>
      </c>
      <c r="I167" s="124">
        <f t="shared" ref="I167" si="41">G167*H167</f>
        <v>4</v>
      </c>
      <c r="J167" s="186">
        <v>68000</v>
      </c>
      <c r="K167" s="186">
        <f t="shared" ref="K167" si="42">I167*J167</f>
        <v>272000</v>
      </c>
      <c r="L167" s="186">
        <f t="shared" ref="L167" si="43">K167*12</f>
        <v>3264000</v>
      </c>
      <c r="M167" s="186">
        <v>69000</v>
      </c>
      <c r="N167" s="186">
        <f t="shared" ref="N167" si="44">M167*12</f>
        <v>828000</v>
      </c>
      <c r="O167" s="186">
        <f t="shared" ref="O167" si="45">L167+N167</f>
        <v>4092000</v>
      </c>
      <c r="P167" s="174"/>
    </row>
    <row r="168" spans="1:17" s="12" customFormat="1" ht="30" x14ac:dyDescent="0.25">
      <c r="A168" s="6">
        <v>17</v>
      </c>
      <c r="B168" s="193" t="s">
        <v>129</v>
      </c>
      <c r="C168" s="124" t="s">
        <v>130</v>
      </c>
      <c r="D168" s="124">
        <v>135</v>
      </c>
      <c r="E168" s="124" t="s">
        <v>78</v>
      </c>
      <c r="F168" s="124">
        <v>1</v>
      </c>
      <c r="G168" s="124">
        <v>2</v>
      </c>
      <c r="H168" s="124">
        <v>2</v>
      </c>
      <c r="I168" s="124">
        <f t="shared" si="36"/>
        <v>4</v>
      </c>
      <c r="J168" s="186">
        <v>68000</v>
      </c>
      <c r="K168" s="186">
        <f t="shared" si="37"/>
        <v>272000</v>
      </c>
      <c r="L168" s="186">
        <f t="shared" si="38"/>
        <v>3264000</v>
      </c>
      <c r="M168" s="186">
        <v>69000</v>
      </c>
      <c r="N168" s="186">
        <f t="shared" si="39"/>
        <v>828000</v>
      </c>
      <c r="O168" s="186">
        <f t="shared" si="40"/>
        <v>4092000</v>
      </c>
      <c r="P168" s="174"/>
    </row>
    <row r="169" spans="1:17" s="12" customFormat="1" ht="15" x14ac:dyDescent="0.25">
      <c r="A169" s="6">
        <v>18</v>
      </c>
      <c r="B169" s="192" t="s">
        <v>351</v>
      </c>
      <c r="C169" s="124" t="s">
        <v>180</v>
      </c>
      <c r="D169" s="124">
        <v>136</v>
      </c>
      <c r="E169" s="124" t="s">
        <v>62</v>
      </c>
      <c r="F169" s="124">
        <v>1</v>
      </c>
      <c r="G169" s="124">
        <v>2</v>
      </c>
      <c r="H169" s="124">
        <v>2</v>
      </c>
      <c r="I169" s="124">
        <f t="shared" si="36"/>
        <v>4</v>
      </c>
      <c r="J169" s="186">
        <v>68000</v>
      </c>
      <c r="K169" s="186">
        <f t="shared" si="37"/>
        <v>272000</v>
      </c>
      <c r="L169" s="186">
        <f t="shared" si="38"/>
        <v>3264000</v>
      </c>
      <c r="M169" s="186">
        <v>69000</v>
      </c>
      <c r="N169" s="186">
        <f t="shared" si="39"/>
        <v>828000</v>
      </c>
      <c r="O169" s="186">
        <f t="shared" si="40"/>
        <v>4092000</v>
      </c>
      <c r="P169" s="174"/>
    </row>
    <row r="170" spans="1:17" s="12" customFormat="1" ht="15" x14ac:dyDescent="0.25">
      <c r="A170" s="6">
        <v>19</v>
      </c>
      <c r="B170" s="192" t="s">
        <v>79</v>
      </c>
      <c r="C170" s="124" t="s">
        <v>179</v>
      </c>
      <c r="D170" s="124">
        <v>137</v>
      </c>
      <c r="E170" s="124" t="s">
        <v>62</v>
      </c>
      <c r="F170" s="124">
        <v>1</v>
      </c>
      <c r="G170" s="124">
        <v>2</v>
      </c>
      <c r="H170" s="124">
        <v>2</v>
      </c>
      <c r="I170" s="124">
        <f t="shared" si="36"/>
        <v>4</v>
      </c>
      <c r="J170" s="186">
        <v>68000</v>
      </c>
      <c r="K170" s="186">
        <f t="shared" si="37"/>
        <v>272000</v>
      </c>
      <c r="L170" s="186">
        <f t="shared" si="38"/>
        <v>3264000</v>
      </c>
      <c r="M170" s="186">
        <v>69000</v>
      </c>
      <c r="N170" s="186">
        <f t="shared" si="39"/>
        <v>828000</v>
      </c>
      <c r="O170" s="186">
        <f t="shared" si="40"/>
        <v>4092000</v>
      </c>
      <c r="P170" s="174">
        <v>4092000</v>
      </c>
    </row>
    <row r="171" spans="1:17" s="12" customFormat="1" ht="30" x14ac:dyDescent="0.25">
      <c r="A171" s="6">
        <v>20</v>
      </c>
      <c r="B171" s="193" t="s">
        <v>80</v>
      </c>
      <c r="C171" s="124" t="s">
        <v>197</v>
      </c>
      <c r="D171" s="124">
        <v>138</v>
      </c>
      <c r="E171" s="124" t="s">
        <v>62</v>
      </c>
      <c r="F171" s="124">
        <v>1</v>
      </c>
      <c r="G171" s="124">
        <v>2</v>
      </c>
      <c r="H171" s="124">
        <v>2</v>
      </c>
      <c r="I171" s="124">
        <f t="shared" si="36"/>
        <v>4</v>
      </c>
      <c r="J171" s="186">
        <v>68000</v>
      </c>
      <c r="K171" s="186">
        <f t="shared" si="37"/>
        <v>272000</v>
      </c>
      <c r="L171" s="186">
        <f t="shared" si="38"/>
        <v>3264000</v>
      </c>
      <c r="M171" s="186">
        <v>69000</v>
      </c>
      <c r="N171" s="186">
        <f t="shared" si="39"/>
        <v>828000</v>
      </c>
      <c r="O171" s="186">
        <f t="shared" si="40"/>
        <v>4092000</v>
      </c>
      <c r="P171" s="174"/>
    </row>
    <row r="172" spans="1:17" s="12" customFormat="1" ht="15" x14ac:dyDescent="0.25">
      <c r="A172" s="6">
        <v>21</v>
      </c>
      <c r="B172" s="193" t="s">
        <v>84</v>
      </c>
      <c r="C172" s="188" t="s">
        <v>162</v>
      </c>
      <c r="D172" s="124">
        <v>139</v>
      </c>
      <c r="E172" s="124" t="s">
        <v>62</v>
      </c>
      <c r="F172" s="124">
        <v>3</v>
      </c>
      <c r="G172" s="124">
        <v>6</v>
      </c>
      <c r="H172" s="124">
        <v>2</v>
      </c>
      <c r="I172" s="124">
        <f t="shared" si="36"/>
        <v>12</v>
      </c>
      <c r="J172" s="186">
        <v>68000</v>
      </c>
      <c r="K172" s="186">
        <f t="shared" si="37"/>
        <v>816000</v>
      </c>
      <c r="L172" s="186">
        <f t="shared" si="38"/>
        <v>9792000</v>
      </c>
      <c r="M172" s="186">
        <v>69000</v>
      </c>
      <c r="N172" s="186">
        <f t="shared" si="39"/>
        <v>828000</v>
      </c>
      <c r="O172" s="186">
        <f t="shared" si="40"/>
        <v>10620000</v>
      </c>
      <c r="P172" s="174"/>
    </row>
    <row r="173" spans="1:17" s="12" customFormat="1" ht="30" x14ac:dyDescent="0.25">
      <c r="A173" s="6">
        <v>22</v>
      </c>
      <c r="B173" s="193" t="s">
        <v>418</v>
      </c>
      <c r="C173" s="124" t="s">
        <v>131</v>
      </c>
      <c r="D173" s="124">
        <v>140</v>
      </c>
      <c r="E173" s="124" t="s">
        <v>62</v>
      </c>
      <c r="F173" s="124">
        <v>1</v>
      </c>
      <c r="G173" s="124">
        <v>2</v>
      </c>
      <c r="H173" s="124">
        <v>2</v>
      </c>
      <c r="I173" s="124">
        <f t="shared" si="36"/>
        <v>4</v>
      </c>
      <c r="J173" s="186">
        <v>68000</v>
      </c>
      <c r="K173" s="186">
        <f t="shared" si="37"/>
        <v>272000</v>
      </c>
      <c r="L173" s="186">
        <f t="shared" si="38"/>
        <v>3264000</v>
      </c>
      <c r="M173" s="186">
        <v>69000</v>
      </c>
      <c r="N173" s="186">
        <f t="shared" si="39"/>
        <v>828000</v>
      </c>
      <c r="O173" s="186">
        <f t="shared" si="40"/>
        <v>4092000</v>
      </c>
      <c r="P173" s="174">
        <f>O173</f>
        <v>4092000</v>
      </c>
    </row>
    <row r="174" spans="1:17" s="12" customFormat="1" ht="15" x14ac:dyDescent="0.25">
      <c r="A174" s="6">
        <v>23</v>
      </c>
      <c r="B174" s="192" t="s">
        <v>81</v>
      </c>
      <c r="C174" s="124" t="s">
        <v>214</v>
      </c>
      <c r="D174" s="124">
        <v>141</v>
      </c>
      <c r="E174" s="124" t="s">
        <v>62</v>
      </c>
      <c r="F174" s="124">
        <v>1</v>
      </c>
      <c r="G174" s="124">
        <v>2</v>
      </c>
      <c r="H174" s="124">
        <v>2</v>
      </c>
      <c r="I174" s="124">
        <f t="shared" si="36"/>
        <v>4</v>
      </c>
      <c r="J174" s="186">
        <v>68000</v>
      </c>
      <c r="K174" s="186">
        <f t="shared" si="37"/>
        <v>272000</v>
      </c>
      <c r="L174" s="186">
        <f t="shared" si="38"/>
        <v>3264000</v>
      </c>
      <c r="M174" s="186">
        <v>69000</v>
      </c>
      <c r="N174" s="186">
        <f t="shared" si="39"/>
        <v>828000</v>
      </c>
      <c r="O174" s="186">
        <f t="shared" si="40"/>
        <v>4092000</v>
      </c>
      <c r="P174" s="174"/>
    </row>
    <row r="175" spans="1:17" s="12" customFormat="1" ht="30" x14ac:dyDescent="0.25">
      <c r="A175" s="6">
        <v>24</v>
      </c>
      <c r="B175" s="192" t="s">
        <v>32</v>
      </c>
      <c r="C175" s="124" t="s">
        <v>174</v>
      </c>
      <c r="D175" s="124">
        <v>142</v>
      </c>
      <c r="E175" s="124" t="s">
        <v>62</v>
      </c>
      <c r="F175" s="124">
        <v>1</v>
      </c>
      <c r="G175" s="124">
        <v>2</v>
      </c>
      <c r="H175" s="124">
        <v>2</v>
      </c>
      <c r="I175" s="124">
        <f t="shared" si="36"/>
        <v>4</v>
      </c>
      <c r="J175" s="186">
        <v>68000</v>
      </c>
      <c r="K175" s="186">
        <f t="shared" si="37"/>
        <v>272000</v>
      </c>
      <c r="L175" s="186">
        <f t="shared" si="38"/>
        <v>3264000</v>
      </c>
      <c r="M175" s="186">
        <v>69000</v>
      </c>
      <c r="N175" s="186">
        <f t="shared" si="39"/>
        <v>828000</v>
      </c>
      <c r="O175" s="186">
        <f t="shared" si="40"/>
        <v>4092000</v>
      </c>
      <c r="P175" s="174">
        <f>O175</f>
        <v>4092000</v>
      </c>
    </row>
    <row r="176" spans="1:17" s="12" customFormat="1" ht="30" x14ac:dyDescent="0.25">
      <c r="A176" s="6">
        <v>25</v>
      </c>
      <c r="B176" s="192" t="s">
        <v>181</v>
      </c>
      <c r="C176" s="124" t="s">
        <v>182</v>
      </c>
      <c r="D176" s="124">
        <v>143</v>
      </c>
      <c r="E176" s="124" t="s">
        <v>62</v>
      </c>
      <c r="F176" s="124">
        <v>1</v>
      </c>
      <c r="G176" s="124">
        <v>2</v>
      </c>
      <c r="H176" s="124">
        <v>2</v>
      </c>
      <c r="I176" s="124">
        <f t="shared" si="36"/>
        <v>4</v>
      </c>
      <c r="J176" s="186">
        <v>68000</v>
      </c>
      <c r="K176" s="186">
        <f t="shared" si="37"/>
        <v>272000</v>
      </c>
      <c r="L176" s="186">
        <f t="shared" si="38"/>
        <v>3264000</v>
      </c>
      <c r="M176" s="186">
        <v>69000</v>
      </c>
      <c r="N176" s="186">
        <f t="shared" si="39"/>
        <v>828000</v>
      </c>
      <c r="O176" s="186">
        <f t="shared" si="40"/>
        <v>4092000</v>
      </c>
      <c r="P176" s="174"/>
    </row>
    <row r="177" spans="1:16" s="12" customFormat="1" ht="30" x14ac:dyDescent="0.25">
      <c r="A177" s="6">
        <v>26</v>
      </c>
      <c r="B177" s="192" t="s">
        <v>82</v>
      </c>
      <c r="C177" s="124" t="s">
        <v>183</v>
      </c>
      <c r="D177" s="124">
        <v>144</v>
      </c>
      <c r="E177" s="124" t="s">
        <v>62</v>
      </c>
      <c r="F177" s="124">
        <v>1</v>
      </c>
      <c r="G177" s="124">
        <v>2</v>
      </c>
      <c r="H177" s="124">
        <v>2</v>
      </c>
      <c r="I177" s="124">
        <f t="shared" si="36"/>
        <v>4</v>
      </c>
      <c r="J177" s="186">
        <v>68000</v>
      </c>
      <c r="K177" s="186">
        <f t="shared" si="37"/>
        <v>272000</v>
      </c>
      <c r="L177" s="186">
        <f t="shared" si="38"/>
        <v>3264000</v>
      </c>
      <c r="M177" s="186">
        <v>69000</v>
      </c>
      <c r="N177" s="186">
        <f t="shared" si="39"/>
        <v>828000</v>
      </c>
      <c r="O177" s="186">
        <f t="shared" si="40"/>
        <v>4092000</v>
      </c>
      <c r="P177" s="174">
        <f>O177</f>
        <v>4092000</v>
      </c>
    </row>
    <row r="178" spans="1:16" s="12" customFormat="1" ht="30" x14ac:dyDescent="0.25">
      <c r="A178" s="6">
        <v>27</v>
      </c>
      <c r="B178" s="192" t="s">
        <v>396</v>
      </c>
      <c r="C178" s="124" t="s">
        <v>177</v>
      </c>
      <c r="D178" s="124">
        <v>145</v>
      </c>
      <c r="E178" s="124" t="s">
        <v>62</v>
      </c>
      <c r="F178" s="124">
        <v>1</v>
      </c>
      <c r="G178" s="124">
        <v>2</v>
      </c>
      <c r="H178" s="124">
        <v>2</v>
      </c>
      <c r="I178" s="124">
        <f t="shared" si="36"/>
        <v>4</v>
      </c>
      <c r="J178" s="186">
        <v>68000</v>
      </c>
      <c r="K178" s="186">
        <f t="shared" si="37"/>
        <v>272000</v>
      </c>
      <c r="L178" s="186">
        <f t="shared" si="38"/>
        <v>3264000</v>
      </c>
      <c r="M178" s="186">
        <v>69000</v>
      </c>
      <c r="N178" s="186">
        <f t="shared" si="39"/>
        <v>828000</v>
      </c>
      <c r="O178" s="186">
        <f t="shared" si="40"/>
        <v>4092000</v>
      </c>
      <c r="P178" s="174"/>
    </row>
    <row r="179" spans="1:16" s="12" customFormat="1" ht="30" x14ac:dyDescent="0.25">
      <c r="A179" s="6">
        <v>28</v>
      </c>
      <c r="B179" s="192" t="s">
        <v>83</v>
      </c>
      <c r="C179" s="124" t="s">
        <v>134</v>
      </c>
      <c r="D179" s="124">
        <v>146</v>
      </c>
      <c r="E179" s="124" t="s">
        <v>62</v>
      </c>
      <c r="F179" s="124">
        <v>2</v>
      </c>
      <c r="G179" s="124">
        <v>4</v>
      </c>
      <c r="H179" s="124">
        <v>2</v>
      </c>
      <c r="I179" s="124">
        <f t="shared" si="36"/>
        <v>8</v>
      </c>
      <c r="J179" s="186">
        <v>68000</v>
      </c>
      <c r="K179" s="186">
        <f t="shared" si="37"/>
        <v>544000</v>
      </c>
      <c r="L179" s="186">
        <f t="shared" si="38"/>
        <v>6528000</v>
      </c>
      <c r="M179" s="186">
        <v>69000</v>
      </c>
      <c r="N179" s="186">
        <f t="shared" si="39"/>
        <v>828000</v>
      </c>
      <c r="O179" s="186">
        <f t="shared" si="40"/>
        <v>7356000</v>
      </c>
      <c r="P179" s="174"/>
    </row>
    <row r="180" spans="1:16" s="12" customFormat="1" ht="30" x14ac:dyDescent="0.25">
      <c r="A180" s="6">
        <v>29</v>
      </c>
      <c r="B180" s="192" t="s">
        <v>84</v>
      </c>
      <c r="C180" s="124" t="s">
        <v>131</v>
      </c>
      <c r="D180" s="124">
        <v>147</v>
      </c>
      <c r="E180" s="124" t="s">
        <v>62</v>
      </c>
      <c r="F180" s="124">
        <v>1</v>
      </c>
      <c r="G180" s="124">
        <v>2</v>
      </c>
      <c r="H180" s="124">
        <v>2</v>
      </c>
      <c r="I180" s="124">
        <f t="shared" si="36"/>
        <v>4</v>
      </c>
      <c r="J180" s="186">
        <v>68000</v>
      </c>
      <c r="K180" s="186">
        <f t="shared" si="37"/>
        <v>272000</v>
      </c>
      <c r="L180" s="186">
        <f t="shared" si="38"/>
        <v>3264000</v>
      </c>
      <c r="M180" s="186">
        <v>69000</v>
      </c>
      <c r="N180" s="186">
        <f t="shared" si="39"/>
        <v>828000</v>
      </c>
      <c r="O180" s="186">
        <f t="shared" si="40"/>
        <v>4092000</v>
      </c>
      <c r="P180" s="186">
        <v>4092000</v>
      </c>
    </row>
    <row r="181" spans="1:16" s="12" customFormat="1" ht="30" x14ac:dyDescent="0.25">
      <c r="A181" s="6">
        <v>30</v>
      </c>
      <c r="B181" s="192" t="s">
        <v>457</v>
      </c>
      <c r="C181" s="124" t="s">
        <v>326</v>
      </c>
      <c r="D181" s="124">
        <v>148</v>
      </c>
      <c r="E181" s="124" t="s">
        <v>62</v>
      </c>
      <c r="F181" s="124">
        <v>1</v>
      </c>
      <c r="G181" s="124">
        <v>2</v>
      </c>
      <c r="H181" s="124">
        <v>2</v>
      </c>
      <c r="I181" s="124">
        <f t="shared" si="36"/>
        <v>4</v>
      </c>
      <c r="J181" s="186">
        <v>68000</v>
      </c>
      <c r="K181" s="186">
        <f t="shared" si="37"/>
        <v>272000</v>
      </c>
      <c r="L181" s="186">
        <f t="shared" si="38"/>
        <v>3264000</v>
      </c>
      <c r="M181" s="186">
        <v>69000</v>
      </c>
      <c r="N181" s="186">
        <f t="shared" si="39"/>
        <v>828000</v>
      </c>
      <c r="O181" s="186">
        <f t="shared" si="40"/>
        <v>4092000</v>
      </c>
      <c r="P181" s="14"/>
    </row>
    <row r="182" spans="1:16" s="12" customFormat="1" ht="15" x14ac:dyDescent="0.25">
      <c r="A182" s="6">
        <v>31</v>
      </c>
      <c r="B182" s="192" t="s">
        <v>85</v>
      </c>
      <c r="C182" s="124" t="s">
        <v>109</v>
      </c>
      <c r="D182" s="124">
        <v>149</v>
      </c>
      <c r="E182" s="124" t="s">
        <v>62</v>
      </c>
      <c r="F182" s="124">
        <v>2</v>
      </c>
      <c r="G182" s="124">
        <v>4</v>
      </c>
      <c r="H182" s="124">
        <v>2</v>
      </c>
      <c r="I182" s="124">
        <f t="shared" si="36"/>
        <v>8</v>
      </c>
      <c r="J182" s="186">
        <v>68000</v>
      </c>
      <c r="K182" s="186">
        <f t="shared" si="37"/>
        <v>544000</v>
      </c>
      <c r="L182" s="186">
        <f t="shared" si="38"/>
        <v>6528000</v>
      </c>
      <c r="M182" s="186">
        <v>69000</v>
      </c>
      <c r="N182" s="186">
        <f t="shared" si="39"/>
        <v>828000</v>
      </c>
      <c r="O182" s="194">
        <f t="shared" si="40"/>
        <v>7356000</v>
      </c>
      <c r="P182" s="14"/>
    </row>
    <row r="183" spans="1:16" s="51" customFormat="1" ht="30" x14ac:dyDescent="0.25">
      <c r="A183" s="6">
        <v>32</v>
      </c>
      <c r="B183" s="192" t="s">
        <v>68</v>
      </c>
      <c r="C183" s="124" t="s">
        <v>204</v>
      </c>
      <c r="D183" s="124">
        <v>150</v>
      </c>
      <c r="E183" s="124" t="s">
        <v>62</v>
      </c>
      <c r="F183" s="124">
        <v>1</v>
      </c>
      <c r="G183" s="124">
        <v>2</v>
      </c>
      <c r="H183" s="124">
        <v>2</v>
      </c>
      <c r="I183" s="124">
        <f t="shared" si="36"/>
        <v>4</v>
      </c>
      <c r="J183" s="186">
        <v>68000</v>
      </c>
      <c r="K183" s="186">
        <f t="shared" si="37"/>
        <v>272000</v>
      </c>
      <c r="L183" s="186">
        <f t="shared" si="38"/>
        <v>3264000</v>
      </c>
      <c r="M183" s="186">
        <v>69000</v>
      </c>
      <c r="N183" s="186">
        <f t="shared" si="39"/>
        <v>828000</v>
      </c>
      <c r="O183" s="186">
        <f t="shared" si="40"/>
        <v>4092000</v>
      </c>
      <c r="P183" s="14"/>
    </row>
    <row r="184" spans="1:16" s="22" customFormat="1" ht="15" x14ac:dyDescent="0.25">
      <c r="A184" s="6">
        <v>33</v>
      </c>
      <c r="B184" s="192" t="s">
        <v>86</v>
      </c>
      <c r="C184" s="124" t="s">
        <v>336</v>
      </c>
      <c r="D184" s="124">
        <v>151</v>
      </c>
      <c r="E184" s="124" t="s">
        <v>62</v>
      </c>
      <c r="F184" s="124">
        <v>1</v>
      </c>
      <c r="G184" s="124">
        <v>2</v>
      </c>
      <c r="H184" s="124">
        <v>2</v>
      </c>
      <c r="I184" s="124">
        <f t="shared" si="36"/>
        <v>4</v>
      </c>
      <c r="J184" s="186">
        <v>68000</v>
      </c>
      <c r="K184" s="186">
        <f t="shared" si="37"/>
        <v>272000</v>
      </c>
      <c r="L184" s="186">
        <f t="shared" si="38"/>
        <v>3264000</v>
      </c>
      <c r="M184" s="186">
        <v>69000</v>
      </c>
      <c r="N184" s="186">
        <f t="shared" si="39"/>
        <v>828000</v>
      </c>
      <c r="O184" s="186">
        <f t="shared" si="40"/>
        <v>4092000</v>
      </c>
      <c r="P184" s="14"/>
    </row>
    <row r="185" spans="1:16" s="12" customFormat="1" ht="30" x14ac:dyDescent="0.25">
      <c r="A185" s="6">
        <v>34</v>
      </c>
      <c r="B185" s="192" t="s">
        <v>87</v>
      </c>
      <c r="C185" s="124" t="s">
        <v>222</v>
      </c>
      <c r="D185" s="124">
        <v>152</v>
      </c>
      <c r="E185" s="124" t="s">
        <v>62</v>
      </c>
      <c r="F185" s="124">
        <v>1</v>
      </c>
      <c r="G185" s="124">
        <v>2</v>
      </c>
      <c r="H185" s="124">
        <v>2</v>
      </c>
      <c r="I185" s="124">
        <f t="shared" si="36"/>
        <v>4</v>
      </c>
      <c r="J185" s="186">
        <v>68000</v>
      </c>
      <c r="K185" s="186">
        <f t="shared" si="37"/>
        <v>272000</v>
      </c>
      <c r="L185" s="186">
        <f t="shared" si="38"/>
        <v>3264000</v>
      </c>
      <c r="M185" s="186">
        <v>69000</v>
      </c>
      <c r="N185" s="186">
        <f t="shared" si="39"/>
        <v>828000</v>
      </c>
      <c r="O185" s="186">
        <f t="shared" si="40"/>
        <v>4092000</v>
      </c>
      <c r="P185" s="14"/>
    </row>
    <row r="186" spans="1:16" s="12" customFormat="1" ht="15" x14ac:dyDescent="0.25">
      <c r="A186" s="6">
        <v>35</v>
      </c>
      <c r="B186" s="192" t="s">
        <v>267</v>
      </c>
      <c r="C186" s="124" t="s">
        <v>268</v>
      </c>
      <c r="D186" s="124">
        <v>153</v>
      </c>
      <c r="E186" s="124" t="s">
        <v>62</v>
      </c>
      <c r="F186" s="124">
        <v>1</v>
      </c>
      <c r="G186" s="124">
        <v>2</v>
      </c>
      <c r="H186" s="124">
        <v>2</v>
      </c>
      <c r="I186" s="124">
        <f t="shared" si="36"/>
        <v>4</v>
      </c>
      <c r="J186" s="186">
        <v>68000</v>
      </c>
      <c r="K186" s="186">
        <f t="shared" si="37"/>
        <v>272000</v>
      </c>
      <c r="L186" s="186">
        <f t="shared" si="38"/>
        <v>3264000</v>
      </c>
      <c r="M186" s="186">
        <v>69000</v>
      </c>
      <c r="N186" s="186">
        <f t="shared" si="39"/>
        <v>828000</v>
      </c>
      <c r="O186" s="186">
        <f t="shared" si="40"/>
        <v>4092000</v>
      </c>
      <c r="P186" s="14"/>
    </row>
    <row r="187" spans="1:16" s="12" customFormat="1" ht="30" x14ac:dyDescent="0.25">
      <c r="A187" s="6">
        <v>36</v>
      </c>
      <c r="B187" s="192" t="s">
        <v>88</v>
      </c>
      <c r="C187" s="124" t="s">
        <v>212</v>
      </c>
      <c r="D187" s="124">
        <v>154</v>
      </c>
      <c r="E187" s="124" t="s">
        <v>62</v>
      </c>
      <c r="F187" s="124">
        <v>1</v>
      </c>
      <c r="G187" s="124">
        <v>2</v>
      </c>
      <c r="H187" s="124">
        <v>2</v>
      </c>
      <c r="I187" s="124">
        <f t="shared" si="36"/>
        <v>4</v>
      </c>
      <c r="J187" s="186">
        <v>68000</v>
      </c>
      <c r="K187" s="186">
        <f t="shared" si="37"/>
        <v>272000</v>
      </c>
      <c r="L187" s="186">
        <f t="shared" si="38"/>
        <v>3264000</v>
      </c>
      <c r="M187" s="186">
        <v>69000</v>
      </c>
      <c r="N187" s="186">
        <f t="shared" si="39"/>
        <v>828000</v>
      </c>
      <c r="O187" s="186">
        <f t="shared" si="40"/>
        <v>4092000</v>
      </c>
      <c r="P187" s="14"/>
    </row>
    <row r="188" spans="1:16" s="12" customFormat="1" ht="30" x14ac:dyDescent="0.25">
      <c r="A188" s="6">
        <v>37</v>
      </c>
      <c r="B188" s="193" t="s">
        <v>89</v>
      </c>
      <c r="C188" s="124" t="s">
        <v>237</v>
      </c>
      <c r="D188" s="124">
        <v>155</v>
      </c>
      <c r="E188" s="124" t="s">
        <v>62</v>
      </c>
      <c r="F188" s="124">
        <v>1</v>
      </c>
      <c r="G188" s="124">
        <v>2</v>
      </c>
      <c r="H188" s="124">
        <v>2</v>
      </c>
      <c r="I188" s="124">
        <f t="shared" si="36"/>
        <v>4</v>
      </c>
      <c r="J188" s="186">
        <v>68000</v>
      </c>
      <c r="K188" s="186">
        <f t="shared" si="37"/>
        <v>272000</v>
      </c>
      <c r="L188" s="186">
        <f t="shared" si="38"/>
        <v>3264000</v>
      </c>
      <c r="M188" s="186">
        <v>69000</v>
      </c>
      <c r="N188" s="186">
        <f t="shared" si="39"/>
        <v>828000</v>
      </c>
      <c r="O188" s="186">
        <f t="shared" si="40"/>
        <v>4092000</v>
      </c>
      <c r="P188" s="14"/>
    </row>
    <row r="189" spans="1:16" s="12" customFormat="1" ht="30" x14ac:dyDescent="0.25">
      <c r="A189" s="6">
        <v>38</v>
      </c>
      <c r="B189" s="192" t="s">
        <v>430</v>
      </c>
      <c r="C189" s="124" t="s">
        <v>195</v>
      </c>
      <c r="D189" s="124">
        <v>156</v>
      </c>
      <c r="E189" s="124" t="s">
        <v>62</v>
      </c>
      <c r="F189" s="124">
        <v>1</v>
      </c>
      <c r="G189" s="124">
        <v>2</v>
      </c>
      <c r="H189" s="124">
        <v>2</v>
      </c>
      <c r="I189" s="124">
        <f t="shared" si="36"/>
        <v>4</v>
      </c>
      <c r="J189" s="186">
        <v>68000</v>
      </c>
      <c r="K189" s="186">
        <f t="shared" si="37"/>
        <v>272000</v>
      </c>
      <c r="L189" s="186">
        <f t="shared" si="38"/>
        <v>3264000</v>
      </c>
      <c r="M189" s="186">
        <v>69000</v>
      </c>
      <c r="N189" s="186">
        <f t="shared" si="39"/>
        <v>828000</v>
      </c>
      <c r="O189" s="186">
        <f t="shared" si="40"/>
        <v>4092000</v>
      </c>
      <c r="P189" s="14"/>
    </row>
    <row r="190" spans="1:16" s="12" customFormat="1" ht="15" x14ac:dyDescent="0.25">
      <c r="A190" s="6">
        <v>39</v>
      </c>
      <c r="B190" s="192" t="s">
        <v>220</v>
      </c>
      <c r="C190" s="124" t="s">
        <v>221</v>
      </c>
      <c r="D190" s="124">
        <v>157</v>
      </c>
      <c r="E190" s="124" t="s">
        <v>62</v>
      </c>
      <c r="F190" s="124">
        <v>1</v>
      </c>
      <c r="G190" s="124">
        <v>2</v>
      </c>
      <c r="H190" s="124">
        <v>2</v>
      </c>
      <c r="I190" s="124">
        <v>4</v>
      </c>
      <c r="J190" s="186">
        <v>68000</v>
      </c>
      <c r="K190" s="186">
        <f t="shared" si="37"/>
        <v>272000</v>
      </c>
      <c r="L190" s="186">
        <f t="shared" si="38"/>
        <v>3264000</v>
      </c>
      <c r="M190" s="186">
        <v>69000</v>
      </c>
      <c r="N190" s="186">
        <f t="shared" si="39"/>
        <v>828000</v>
      </c>
      <c r="O190" s="186">
        <f t="shared" si="40"/>
        <v>4092000</v>
      </c>
      <c r="P190" s="14"/>
    </row>
    <row r="191" spans="1:16" s="12" customFormat="1" ht="15" x14ac:dyDescent="0.25">
      <c r="A191" s="6">
        <v>40</v>
      </c>
      <c r="B191" s="198" t="s">
        <v>319</v>
      </c>
      <c r="C191" s="124" t="s">
        <v>335</v>
      </c>
      <c r="D191" s="124">
        <v>158</v>
      </c>
      <c r="E191" s="124" t="s">
        <v>62</v>
      </c>
      <c r="F191" s="124">
        <v>1</v>
      </c>
      <c r="G191" s="124">
        <v>2</v>
      </c>
      <c r="H191" s="124">
        <v>2</v>
      </c>
      <c r="I191" s="124">
        <v>4</v>
      </c>
      <c r="J191" s="186">
        <v>68000</v>
      </c>
      <c r="K191" s="186">
        <v>272000</v>
      </c>
      <c r="L191" s="186">
        <f>K191*12</f>
        <v>3264000</v>
      </c>
      <c r="M191" s="186">
        <v>69000</v>
      </c>
      <c r="N191" s="186">
        <f t="shared" si="39"/>
        <v>828000</v>
      </c>
      <c r="O191" s="186">
        <f>L191+N191</f>
        <v>4092000</v>
      </c>
      <c r="P191" s="14"/>
    </row>
    <row r="192" spans="1:16" s="12" customFormat="1" ht="15" x14ac:dyDescent="0.25">
      <c r="A192" s="6">
        <v>41</v>
      </c>
      <c r="B192" s="198" t="s">
        <v>419</v>
      </c>
      <c r="C192" s="124" t="s">
        <v>420</v>
      </c>
      <c r="D192" s="124">
        <v>159</v>
      </c>
      <c r="E192" s="124" t="s">
        <v>62</v>
      </c>
      <c r="F192" s="124">
        <v>1</v>
      </c>
      <c r="G192" s="124">
        <v>2</v>
      </c>
      <c r="H192" s="124">
        <v>2</v>
      </c>
      <c r="I192" s="124">
        <v>4</v>
      </c>
      <c r="J192" s="186">
        <v>68000</v>
      </c>
      <c r="K192" s="186">
        <v>272000</v>
      </c>
      <c r="L192" s="186">
        <f>K192*12</f>
        <v>3264000</v>
      </c>
      <c r="M192" s="186">
        <v>69000</v>
      </c>
      <c r="N192" s="186">
        <f t="shared" ref="N192" si="46">M192*12</f>
        <v>828000</v>
      </c>
      <c r="O192" s="186">
        <f>L192+N192</f>
        <v>4092000</v>
      </c>
      <c r="P192" s="14"/>
    </row>
    <row r="193" spans="1:17" s="238" customFormat="1" ht="30" x14ac:dyDescent="0.25">
      <c r="A193" s="214">
        <v>42</v>
      </c>
      <c r="B193" s="235" t="s">
        <v>481</v>
      </c>
      <c r="C193" s="235" t="s">
        <v>482</v>
      </c>
      <c r="D193" s="236">
        <v>184</v>
      </c>
      <c r="E193" s="236" t="s">
        <v>62</v>
      </c>
      <c r="F193" s="236">
        <v>1</v>
      </c>
      <c r="G193" s="236">
        <v>2</v>
      </c>
      <c r="H193" s="236">
        <v>2</v>
      </c>
      <c r="I193" s="236">
        <v>4</v>
      </c>
      <c r="J193" s="237">
        <v>68000</v>
      </c>
      <c r="K193" s="237">
        <v>272000</v>
      </c>
      <c r="L193" s="237">
        <f>K193*12</f>
        <v>3264000</v>
      </c>
      <c r="M193" s="237">
        <v>69000</v>
      </c>
      <c r="N193" s="237">
        <f t="shared" si="39"/>
        <v>828000</v>
      </c>
      <c r="O193" s="237">
        <f>L193+N193</f>
        <v>4092000</v>
      </c>
      <c r="P193" s="246"/>
      <c r="Q193" s="217" t="s">
        <v>484</v>
      </c>
    </row>
    <row r="194" spans="1:17" s="22" customFormat="1" ht="15" x14ac:dyDescent="0.25">
      <c r="A194" s="95"/>
      <c r="B194" s="106"/>
      <c r="C194" s="97"/>
      <c r="D194" s="97"/>
      <c r="E194" s="97"/>
      <c r="F194" s="160">
        <f>SUM(F151:F193)</f>
        <v>50</v>
      </c>
      <c r="G194" s="97"/>
      <c r="H194" s="97"/>
      <c r="I194" s="97"/>
      <c r="J194" s="107"/>
      <c r="K194" s="107"/>
      <c r="L194" s="117">
        <f>SUM(L151:L193)</f>
        <v>163200000</v>
      </c>
      <c r="M194" s="107"/>
      <c r="N194" s="117">
        <f>SUM(N151:N193)</f>
        <v>34776000</v>
      </c>
      <c r="O194" s="117">
        <f>SUM(O151:O193)</f>
        <v>197976000</v>
      </c>
      <c r="P194" s="190"/>
    </row>
    <row r="195" spans="1:17" s="12" customFormat="1" ht="15" x14ac:dyDescent="0.25">
      <c r="A195" s="277" t="s">
        <v>315</v>
      </c>
      <c r="B195" s="278"/>
      <c r="C195" s="278"/>
      <c r="D195" s="278"/>
      <c r="E195" s="278"/>
      <c r="F195" s="278"/>
      <c r="G195" s="278"/>
      <c r="H195" s="278"/>
      <c r="I195" s="278"/>
      <c r="J195" s="278"/>
      <c r="K195" s="278"/>
      <c r="L195" s="278"/>
      <c r="M195" s="278"/>
      <c r="N195" s="278"/>
      <c r="O195" s="278"/>
      <c r="P195" s="279"/>
    </row>
    <row r="196" spans="1:17" s="12" customFormat="1" ht="15" x14ac:dyDescent="0.25">
      <c r="A196" s="6">
        <v>1</v>
      </c>
      <c r="B196" s="192" t="s">
        <v>236</v>
      </c>
      <c r="C196" s="124" t="s">
        <v>138</v>
      </c>
      <c r="D196" s="124">
        <v>160</v>
      </c>
      <c r="E196" s="124" t="s">
        <v>62</v>
      </c>
      <c r="F196" s="124">
        <v>1</v>
      </c>
      <c r="G196" s="124">
        <v>2</v>
      </c>
      <c r="H196" s="124">
        <v>2</v>
      </c>
      <c r="I196" s="124">
        <f t="shared" ref="I196:I211" si="47">G196*H196</f>
        <v>4</v>
      </c>
      <c r="J196" s="186">
        <v>68000</v>
      </c>
      <c r="K196" s="186">
        <f>I196*J196</f>
        <v>272000</v>
      </c>
      <c r="L196" s="186">
        <f t="shared" ref="L196:L213" si="48">K196*12</f>
        <v>3264000</v>
      </c>
      <c r="M196" s="186">
        <v>69000</v>
      </c>
      <c r="N196" s="186">
        <f t="shared" ref="N196:N213" si="49">M196*12</f>
        <v>828000</v>
      </c>
      <c r="O196" s="186">
        <f>L196+N196</f>
        <v>4092000</v>
      </c>
      <c r="P196" s="14"/>
    </row>
    <row r="197" spans="1:17" s="12" customFormat="1" ht="15" x14ac:dyDescent="0.25">
      <c r="A197" s="6">
        <v>2</v>
      </c>
      <c r="B197" s="192" t="s">
        <v>136</v>
      </c>
      <c r="C197" s="124" t="s">
        <v>138</v>
      </c>
      <c r="D197" s="124">
        <v>161</v>
      </c>
      <c r="E197" s="124" t="s">
        <v>62</v>
      </c>
      <c r="F197" s="124">
        <v>1</v>
      </c>
      <c r="G197" s="124">
        <v>2</v>
      </c>
      <c r="H197" s="124">
        <v>2</v>
      </c>
      <c r="I197" s="124">
        <f t="shared" si="47"/>
        <v>4</v>
      </c>
      <c r="J197" s="186">
        <v>68000</v>
      </c>
      <c r="K197" s="186">
        <f t="shared" ref="K197:K211" si="50">I197*J197</f>
        <v>272000</v>
      </c>
      <c r="L197" s="186">
        <f t="shared" si="48"/>
        <v>3264000</v>
      </c>
      <c r="M197" s="186">
        <v>69000</v>
      </c>
      <c r="N197" s="186">
        <f t="shared" si="49"/>
        <v>828000</v>
      </c>
      <c r="O197" s="186">
        <f t="shared" ref="O197:O211" si="51">L197+N197</f>
        <v>4092000</v>
      </c>
      <c r="P197" s="14"/>
    </row>
    <row r="198" spans="1:17" s="12" customFormat="1" ht="15" x14ac:dyDescent="0.25">
      <c r="A198" s="6">
        <v>3</v>
      </c>
      <c r="B198" s="192" t="s">
        <v>137</v>
      </c>
      <c r="C198" s="124" t="s">
        <v>139</v>
      </c>
      <c r="D198" s="124">
        <v>162</v>
      </c>
      <c r="E198" s="124" t="s">
        <v>62</v>
      </c>
      <c r="F198" s="124">
        <v>1</v>
      </c>
      <c r="G198" s="124">
        <v>2</v>
      </c>
      <c r="H198" s="124">
        <v>2</v>
      </c>
      <c r="I198" s="124">
        <f t="shared" si="47"/>
        <v>4</v>
      </c>
      <c r="J198" s="186">
        <v>68000</v>
      </c>
      <c r="K198" s="186">
        <f t="shared" si="50"/>
        <v>272000</v>
      </c>
      <c r="L198" s="186">
        <f t="shared" si="48"/>
        <v>3264000</v>
      </c>
      <c r="M198" s="186">
        <v>69000</v>
      </c>
      <c r="N198" s="186">
        <f t="shared" si="49"/>
        <v>828000</v>
      </c>
      <c r="O198" s="186">
        <f t="shared" si="51"/>
        <v>4092000</v>
      </c>
      <c r="P198" s="14"/>
    </row>
    <row r="199" spans="1:17" s="12" customFormat="1" ht="15" x14ac:dyDescent="0.25">
      <c r="A199" s="6">
        <v>4</v>
      </c>
      <c r="B199" s="192" t="s">
        <v>317</v>
      </c>
      <c r="C199" s="124"/>
      <c r="D199" s="124">
        <v>163</v>
      </c>
      <c r="E199" s="124" t="s">
        <v>62</v>
      </c>
      <c r="F199" s="124">
        <v>1</v>
      </c>
      <c r="G199" s="124">
        <v>2</v>
      </c>
      <c r="H199" s="124">
        <v>2</v>
      </c>
      <c r="I199" s="124">
        <f t="shared" si="47"/>
        <v>4</v>
      </c>
      <c r="J199" s="186">
        <v>68000</v>
      </c>
      <c r="K199" s="186">
        <f t="shared" si="50"/>
        <v>272000</v>
      </c>
      <c r="L199" s="186">
        <f t="shared" si="48"/>
        <v>3264000</v>
      </c>
      <c r="M199" s="186">
        <v>69000</v>
      </c>
      <c r="N199" s="186">
        <f t="shared" si="49"/>
        <v>828000</v>
      </c>
      <c r="O199" s="186">
        <f t="shared" si="51"/>
        <v>4092000</v>
      </c>
      <c r="P199" s="6"/>
    </row>
    <row r="200" spans="1:17" s="12" customFormat="1" ht="15" x14ac:dyDescent="0.25">
      <c r="A200" s="6">
        <v>5</v>
      </c>
      <c r="B200" s="205" t="s">
        <v>140</v>
      </c>
      <c r="C200" s="124" t="s">
        <v>139</v>
      </c>
      <c r="D200" s="124">
        <v>164</v>
      </c>
      <c r="E200" s="124" t="s">
        <v>62</v>
      </c>
      <c r="F200" s="124">
        <v>1</v>
      </c>
      <c r="G200" s="124">
        <v>2</v>
      </c>
      <c r="H200" s="124">
        <v>2</v>
      </c>
      <c r="I200" s="124">
        <f t="shared" si="47"/>
        <v>4</v>
      </c>
      <c r="J200" s="186">
        <v>68000</v>
      </c>
      <c r="K200" s="186">
        <v>272000</v>
      </c>
      <c r="L200" s="186">
        <f t="shared" si="48"/>
        <v>3264000</v>
      </c>
      <c r="M200" s="186">
        <v>69000</v>
      </c>
      <c r="N200" s="186">
        <f t="shared" si="49"/>
        <v>828000</v>
      </c>
      <c r="O200" s="186">
        <f t="shared" si="51"/>
        <v>4092000</v>
      </c>
      <c r="P200" s="14"/>
    </row>
    <row r="201" spans="1:17" s="12" customFormat="1" ht="15" x14ac:dyDescent="0.25">
      <c r="A201" s="6">
        <v>6</v>
      </c>
      <c r="B201" s="192" t="s">
        <v>141</v>
      </c>
      <c r="C201" s="124" t="s">
        <v>142</v>
      </c>
      <c r="D201" s="124">
        <v>165</v>
      </c>
      <c r="E201" s="124" t="s">
        <v>62</v>
      </c>
      <c r="F201" s="124">
        <v>1</v>
      </c>
      <c r="G201" s="124">
        <v>2</v>
      </c>
      <c r="H201" s="124">
        <v>2</v>
      </c>
      <c r="I201" s="124">
        <f t="shared" si="47"/>
        <v>4</v>
      </c>
      <c r="J201" s="186">
        <v>68000</v>
      </c>
      <c r="K201" s="186">
        <f t="shared" si="50"/>
        <v>272000</v>
      </c>
      <c r="L201" s="186">
        <f t="shared" si="48"/>
        <v>3264000</v>
      </c>
      <c r="M201" s="186">
        <v>69000</v>
      </c>
      <c r="N201" s="186">
        <f t="shared" si="49"/>
        <v>828000</v>
      </c>
      <c r="O201" s="186">
        <f t="shared" si="51"/>
        <v>4092000</v>
      </c>
      <c r="P201" s="14"/>
    </row>
    <row r="202" spans="1:17" s="12" customFormat="1" ht="30" x14ac:dyDescent="0.25">
      <c r="A202" s="6">
        <v>7</v>
      </c>
      <c r="B202" s="192" t="s">
        <v>480</v>
      </c>
      <c r="C202" s="124" t="s">
        <v>479</v>
      </c>
      <c r="D202" s="124">
        <v>166</v>
      </c>
      <c r="E202" s="124" t="s">
        <v>62</v>
      </c>
      <c r="F202" s="124">
        <v>1</v>
      </c>
      <c r="G202" s="124">
        <v>2</v>
      </c>
      <c r="H202" s="124">
        <v>2</v>
      </c>
      <c r="I202" s="124">
        <f t="shared" si="47"/>
        <v>4</v>
      </c>
      <c r="J202" s="186">
        <v>68000</v>
      </c>
      <c r="K202" s="186">
        <f t="shared" si="50"/>
        <v>272000</v>
      </c>
      <c r="L202" s="186">
        <f t="shared" si="48"/>
        <v>3264000</v>
      </c>
      <c r="M202" s="186">
        <v>69000</v>
      </c>
      <c r="N202" s="186">
        <f t="shared" si="49"/>
        <v>828000</v>
      </c>
      <c r="O202" s="186">
        <f t="shared" si="51"/>
        <v>4092000</v>
      </c>
      <c r="P202" s="14"/>
    </row>
    <row r="203" spans="1:17" s="12" customFormat="1" ht="15" x14ac:dyDescent="0.25">
      <c r="A203" s="6">
        <v>8</v>
      </c>
      <c r="B203" s="192" t="s">
        <v>144</v>
      </c>
      <c r="C203" s="124" t="s">
        <v>145</v>
      </c>
      <c r="D203" s="124">
        <v>167</v>
      </c>
      <c r="E203" s="124" t="s">
        <v>62</v>
      </c>
      <c r="F203" s="124">
        <v>1</v>
      </c>
      <c r="G203" s="124">
        <v>2</v>
      </c>
      <c r="H203" s="124">
        <v>2</v>
      </c>
      <c r="I203" s="124">
        <f t="shared" si="47"/>
        <v>4</v>
      </c>
      <c r="J203" s="186">
        <v>68000</v>
      </c>
      <c r="K203" s="186">
        <v>272000</v>
      </c>
      <c r="L203" s="186">
        <f t="shared" si="48"/>
        <v>3264000</v>
      </c>
      <c r="M203" s="186">
        <v>69000</v>
      </c>
      <c r="N203" s="186">
        <f t="shared" si="49"/>
        <v>828000</v>
      </c>
      <c r="O203" s="186">
        <f t="shared" si="51"/>
        <v>4092000</v>
      </c>
      <c r="P203" s="14"/>
    </row>
    <row r="204" spans="1:17" s="51" customFormat="1" ht="15" x14ac:dyDescent="0.25">
      <c r="A204" s="6">
        <v>9</v>
      </c>
      <c r="B204" s="193" t="s">
        <v>381</v>
      </c>
      <c r="C204" s="124"/>
      <c r="D204" s="124">
        <v>168</v>
      </c>
      <c r="E204" s="124" t="s">
        <v>62</v>
      </c>
      <c r="F204" s="124">
        <v>1</v>
      </c>
      <c r="G204" s="124">
        <v>2</v>
      </c>
      <c r="H204" s="124">
        <v>2</v>
      </c>
      <c r="I204" s="124">
        <f t="shared" si="47"/>
        <v>4</v>
      </c>
      <c r="J204" s="186">
        <v>68000</v>
      </c>
      <c r="K204" s="186">
        <f t="shared" si="50"/>
        <v>272000</v>
      </c>
      <c r="L204" s="186">
        <f t="shared" si="48"/>
        <v>3264000</v>
      </c>
      <c r="M204" s="186">
        <v>69000</v>
      </c>
      <c r="N204" s="186">
        <f t="shared" si="49"/>
        <v>828000</v>
      </c>
      <c r="O204" s="186">
        <f>L204+N204</f>
        <v>4092000</v>
      </c>
      <c r="P204" s="14"/>
    </row>
    <row r="205" spans="1:17" s="63" customFormat="1" ht="15" x14ac:dyDescent="0.25">
      <c r="A205" s="6">
        <v>10</v>
      </c>
      <c r="B205" s="192" t="s">
        <v>158</v>
      </c>
      <c r="C205" s="124" t="s">
        <v>318</v>
      </c>
      <c r="D205" s="124">
        <v>169</v>
      </c>
      <c r="E205" s="124" t="s">
        <v>62</v>
      </c>
      <c r="F205" s="124">
        <v>1</v>
      </c>
      <c r="G205" s="124">
        <v>2</v>
      </c>
      <c r="H205" s="124">
        <v>2</v>
      </c>
      <c r="I205" s="124">
        <f>G205*H205</f>
        <v>4</v>
      </c>
      <c r="J205" s="186">
        <v>68000</v>
      </c>
      <c r="K205" s="186">
        <v>272000</v>
      </c>
      <c r="L205" s="186">
        <f>K205*12</f>
        <v>3264000</v>
      </c>
      <c r="M205" s="186">
        <v>69000</v>
      </c>
      <c r="N205" s="186">
        <f>M205*12</f>
        <v>828000</v>
      </c>
      <c r="O205" s="186">
        <f>L205+N205</f>
        <v>4092000</v>
      </c>
      <c r="P205" s="62"/>
    </row>
    <row r="206" spans="1:17" s="12" customFormat="1" ht="15" x14ac:dyDescent="0.25">
      <c r="A206" s="6">
        <v>11</v>
      </c>
      <c r="B206" s="202" t="s">
        <v>70</v>
      </c>
      <c r="C206" s="124" t="s">
        <v>318</v>
      </c>
      <c r="D206" s="124">
        <v>170</v>
      </c>
      <c r="E206" s="124" t="s">
        <v>153</v>
      </c>
      <c r="F206" s="124">
        <v>1</v>
      </c>
      <c r="G206" s="124">
        <v>2</v>
      </c>
      <c r="H206" s="124">
        <v>2</v>
      </c>
      <c r="I206" s="124">
        <f t="shared" si="47"/>
        <v>4</v>
      </c>
      <c r="J206" s="186">
        <v>68000</v>
      </c>
      <c r="K206" s="186">
        <f t="shared" si="50"/>
        <v>272000</v>
      </c>
      <c r="L206" s="186">
        <f t="shared" si="48"/>
        <v>3264000</v>
      </c>
      <c r="M206" s="186">
        <v>69000</v>
      </c>
      <c r="N206" s="186">
        <f t="shared" si="49"/>
        <v>828000</v>
      </c>
      <c r="O206" s="186">
        <f t="shared" si="51"/>
        <v>4092000</v>
      </c>
      <c r="P206" s="16"/>
    </row>
    <row r="207" spans="1:17" s="12" customFormat="1" ht="15" x14ac:dyDescent="0.25">
      <c r="A207" s="6">
        <v>12</v>
      </c>
      <c r="B207" s="192" t="s">
        <v>154</v>
      </c>
      <c r="C207" s="124" t="s">
        <v>155</v>
      </c>
      <c r="D207" s="124">
        <v>171</v>
      </c>
      <c r="E207" s="124" t="s">
        <v>62</v>
      </c>
      <c r="F207" s="124">
        <v>1</v>
      </c>
      <c r="G207" s="124">
        <v>2</v>
      </c>
      <c r="H207" s="124">
        <v>2</v>
      </c>
      <c r="I207" s="124">
        <f t="shared" si="47"/>
        <v>4</v>
      </c>
      <c r="J207" s="186">
        <v>68000</v>
      </c>
      <c r="K207" s="186">
        <f t="shared" si="50"/>
        <v>272000</v>
      </c>
      <c r="L207" s="186">
        <f t="shared" si="48"/>
        <v>3264000</v>
      </c>
      <c r="M207" s="186">
        <v>69000</v>
      </c>
      <c r="N207" s="186">
        <f t="shared" si="49"/>
        <v>828000</v>
      </c>
      <c r="O207" s="186">
        <f t="shared" si="51"/>
        <v>4092000</v>
      </c>
      <c r="P207" s="14"/>
    </row>
    <row r="208" spans="1:17" s="12" customFormat="1" ht="15" x14ac:dyDescent="0.25">
      <c r="A208" s="6">
        <v>13</v>
      </c>
      <c r="B208" s="192" t="s">
        <v>323</v>
      </c>
      <c r="C208" s="124" t="s">
        <v>318</v>
      </c>
      <c r="D208" s="124">
        <v>172</v>
      </c>
      <c r="E208" s="124" t="s">
        <v>62</v>
      </c>
      <c r="F208" s="124">
        <v>1</v>
      </c>
      <c r="G208" s="124">
        <v>2</v>
      </c>
      <c r="H208" s="124">
        <v>2</v>
      </c>
      <c r="I208" s="124">
        <f t="shared" si="47"/>
        <v>4</v>
      </c>
      <c r="J208" s="186">
        <v>68000</v>
      </c>
      <c r="K208" s="186">
        <f t="shared" si="50"/>
        <v>272000</v>
      </c>
      <c r="L208" s="186">
        <f t="shared" si="48"/>
        <v>3264000</v>
      </c>
      <c r="M208" s="186">
        <v>69000</v>
      </c>
      <c r="N208" s="186">
        <f t="shared" si="49"/>
        <v>828000</v>
      </c>
      <c r="O208" s="186">
        <f t="shared" si="51"/>
        <v>4092000</v>
      </c>
      <c r="P208" s="14"/>
    </row>
    <row r="209" spans="1:16" s="63" customFormat="1" ht="15" x14ac:dyDescent="0.25">
      <c r="A209" s="6">
        <v>14</v>
      </c>
      <c r="B209" s="206" t="s">
        <v>423</v>
      </c>
      <c r="C209" s="124" t="s">
        <v>318</v>
      </c>
      <c r="D209" s="124">
        <v>173</v>
      </c>
      <c r="E209" s="200" t="s">
        <v>62</v>
      </c>
      <c r="F209" s="200">
        <v>1</v>
      </c>
      <c r="G209" s="124">
        <v>2</v>
      </c>
      <c r="H209" s="124">
        <v>2</v>
      </c>
      <c r="I209" s="124">
        <f>G209*H209</f>
        <v>4</v>
      </c>
      <c r="J209" s="201">
        <v>68000</v>
      </c>
      <c r="K209" s="201">
        <v>272000</v>
      </c>
      <c r="L209" s="201">
        <f t="shared" si="48"/>
        <v>3264000</v>
      </c>
      <c r="M209" s="201">
        <v>69000</v>
      </c>
      <c r="N209" s="201">
        <f t="shared" si="49"/>
        <v>828000</v>
      </c>
      <c r="O209" s="201">
        <f t="shared" si="51"/>
        <v>4092000</v>
      </c>
      <c r="P209" s="16"/>
    </row>
    <row r="210" spans="1:16" s="63" customFormat="1" ht="15" x14ac:dyDescent="0.25">
      <c r="A210" s="6">
        <v>15</v>
      </c>
      <c r="B210" s="206" t="s">
        <v>146</v>
      </c>
      <c r="C210" s="200" t="s">
        <v>147</v>
      </c>
      <c r="D210" s="124">
        <v>174</v>
      </c>
      <c r="E210" s="200" t="s">
        <v>62</v>
      </c>
      <c r="F210" s="200">
        <v>1</v>
      </c>
      <c r="G210" s="200">
        <v>2</v>
      </c>
      <c r="H210" s="200">
        <v>2</v>
      </c>
      <c r="I210" s="200">
        <f>G210*H210</f>
        <v>4</v>
      </c>
      <c r="J210" s="201">
        <v>68000</v>
      </c>
      <c r="K210" s="201">
        <v>272000</v>
      </c>
      <c r="L210" s="201">
        <f>K210*12</f>
        <v>3264000</v>
      </c>
      <c r="M210" s="201">
        <v>69000</v>
      </c>
      <c r="N210" s="201">
        <f>M210*12</f>
        <v>828000</v>
      </c>
      <c r="O210" s="201">
        <f>L210+N210</f>
        <v>4092000</v>
      </c>
      <c r="P210" s="16"/>
    </row>
    <row r="211" spans="1:16" s="12" customFormat="1" ht="15" x14ac:dyDescent="0.25">
      <c r="A211" s="6">
        <v>16</v>
      </c>
      <c r="B211" s="193" t="s">
        <v>159</v>
      </c>
      <c r="C211" s="124" t="s">
        <v>160</v>
      </c>
      <c r="D211" s="124">
        <v>175</v>
      </c>
      <c r="E211" s="124" t="s">
        <v>62</v>
      </c>
      <c r="F211" s="124">
        <v>1</v>
      </c>
      <c r="G211" s="124">
        <v>2</v>
      </c>
      <c r="H211" s="124">
        <v>2</v>
      </c>
      <c r="I211" s="124">
        <f t="shared" si="47"/>
        <v>4</v>
      </c>
      <c r="J211" s="186">
        <v>68000</v>
      </c>
      <c r="K211" s="186">
        <f t="shared" si="50"/>
        <v>272000</v>
      </c>
      <c r="L211" s="186">
        <f t="shared" si="48"/>
        <v>3264000</v>
      </c>
      <c r="M211" s="186">
        <v>69000</v>
      </c>
      <c r="N211" s="186">
        <f t="shared" si="49"/>
        <v>828000</v>
      </c>
      <c r="O211" s="186">
        <f t="shared" si="51"/>
        <v>4092000</v>
      </c>
      <c r="P211" s="14"/>
    </row>
    <row r="212" spans="1:16" s="12" customFormat="1" ht="15" x14ac:dyDescent="0.25">
      <c r="A212" s="6">
        <v>17</v>
      </c>
      <c r="B212" s="193" t="s">
        <v>257</v>
      </c>
      <c r="C212" s="124" t="s">
        <v>258</v>
      </c>
      <c r="D212" s="124">
        <v>176</v>
      </c>
      <c r="E212" s="124" t="s">
        <v>62</v>
      </c>
      <c r="F212" s="124">
        <v>1</v>
      </c>
      <c r="G212" s="124">
        <v>2</v>
      </c>
      <c r="H212" s="124">
        <v>2</v>
      </c>
      <c r="I212" s="124">
        <f>G212*H212</f>
        <v>4</v>
      </c>
      <c r="J212" s="186">
        <v>68000</v>
      </c>
      <c r="K212" s="186">
        <f>I212*J212</f>
        <v>272000</v>
      </c>
      <c r="L212" s="186">
        <f t="shared" si="48"/>
        <v>3264000</v>
      </c>
      <c r="M212" s="186">
        <v>69000</v>
      </c>
      <c r="N212" s="186">
        <f t="shared" si="49"/>
        <v>828000</v>
      </c>
      <c r="O212" s="186">
        <f>L212+N212</f>
        <v>4092000</v>
      </c>
      <c r="P212" s="14"/>
    </row>
    <row r="213" spans="1:16" s="12" customFormat="1" ht="15" x14ac:dyDescent="0.25">
      <c r="A213" s="6">
        <v>18</v>
      </c>
      <c r="B213" s="193" t="s">
        <v>259</v>
      </c>
      <c r="C213" s="124" t="s">
        <v>260</v>
      </c>
      <c r="D213" s="124">
        <v>177</v>
      </c>
      <c r="E213" s="124" t="s">
        <v>62</v>
      </c>
      <c r="F213" s="124">
        <v>1</v>
      </c>
      <c r="G213" s="124">
        <v>2</v>
      </c>
      <c r="H213" s="124">
        <v>2</v>
      </c>
      <c r="I213" s="124">
        <f>G213*H213</f>
        <v>4</v>
      </c>
      <c r="J213" s="186">
        <v>68000</v>
      </c>
      <c r="K213" s="186">
        <f>I213*J213</f>
        <v>272000</v>
      </c>
      <c r="L213" s="186">
        <f t="shared" si="48"/>
        <v>3264000</v>
      </c>
      <c r="M213" s="186">
        <v>69000</v>
      </c>
      <c r="N213" s="186">
        <f t="shared" si="49"/>
        <v>828000</v>
      </c>
      <c r="O213" s="186">
        <f>L213+N213</f>
        <v>4092000</v>
      </c>
      <c r="P213" s="14"/>
    </row>
    <row r="214" spans="1:16" s="75" customFormat="1" ht="15" x14ac:dyDescent="0.25">
      <c r="A214" s="6">
        <v>19</v>
      </c>
      <c r="B214" s="202" t="s">
        <v>283</v>
      </c>
      <c r="C214" s="207" t="s">
        <v>284</v>
      </c>
      <c r="D214" s="124">
        <v>178</v>
      </c>
      <c r="E214" s="207" t="s">
        <v>62</v>
      </c>
      <c r="F214" s="207">
        <v>1</v>
      </c>
      <c r="G214" s="207">
        <v>2</v>
      </c>
      <c r="H214" s="207">
        <v>2</v>
      </c>
      <c r="I214" s="207">
        <f>G214*H214</f>
        <v>4</v>
      </c>
      <c r="J214" s="208">
        <v>68000</v>
      </c>
      <c r="K214" s="208">
        <f>I214*J214</f>
        <v>272000</v>
      </c>
      <c r="L214" s="208">
        <f>K214*12</f>
        <v>3264000</v>
      </c>
      <c r="M214" s="208">
        <v>69000</v>
      </c>
      <c r="N214" s="208">
        <f>M214*12</f>
        <v>828000</v>
      </c>
      <c r="O214" s="208">
        <f>L214+N214</f>
        <v>4092000</v>
      </c>
      <c r="P214" s="74"/>
    </row>
    <row r="215" spans="1:16" s="75" customFormat="1" ht="15" x14ac:dyDescent="0.25">
      <c r="A215" s="95"/>
      <c r="B215" s="118"/>
      <c r="C215" s="119"/>
      <c r="D215" s="119"/>
      <c r="E215" s="119"/>
      <c r="F215" s="119">
        <f>SUM(F196:F214)</f>
        <v>19</v>
      </c>
      <c r="G215" s="119"/>
      <c r="H215" s="119"/>
      <c r="I215" s="119"/>
      <c r="J215" s="120"/>
      <c r="K215" s="120"/>
      <c r="L215" s="122">
        <f>SUM(L196:L214)</f>
        <v>62016000</v>
      </c>
      <c r="M215" s="120"/>
      <c r="N215" s="122">
        <f>SUM(N196:N214)</f>
        <v>15732000</v>
      </c>
      <c r="O215" s="122">
        <f>SUM(O196:O214)</f>
        <v>77748000</v>
      </c>
      <c r="P215" s="121"/>
    </row>
    <row r="216" spans="1:16" s="12" customFormat="1" ht="15" x14ac:dyDescent="0.25">
      <c r="A216" s="277" t="s">
        <v>261</v>
      </c>
      <c r="B216" s="278"/>
      <c r="C216" s="278"/>
      <c r="D216" s="278"/>
      <c r="E216" s="278"/>
      <c r="F216" s="278"/>
      <c r="G216" s="278"/>
      <c r="H216" s="278"/>
      <c r="I216" s="278"/>
      <c r="J216" s="278"/>
      <c r="K216" s="278"/>
      <c r="L216" s="278"/>
      <c r="M216" s="278"/>
      <c r="N216" s="278"/>
      <c r="O216" s="278"/>
      <c r="P216" s="279"/>
    </row>
    <row r="217" spans="1:16" s="51" customFormat="1" ht="15" x14ac:dyDescent="0.25">
      <c r="A217" s="6">
        <v>1</v>
      </c>
      <c r="B217" s="72" t="s">
        <v>428</v>
      </c>
      <c r="C217" s="6"/>
      <c r="D217" s="6">
        <v>179</v>
      </c>
      <c r="E217" s="6" t="s">
        <v>62</v>
      </c>
      <c r="F217" s="6">
        <v>1</v>
      </c>
      <c r="G217" s="6">
        <v>2</v>
      </c>
      <c r="H217" s="6">
        <v>2</v>
      </c>
      <c r="I217" s="6">
        <f>G217*H217</f>
        <v>4</v>
      </c>
      <c r="J217" s="16">
        <v>68000</v>
      </c>
      <c r="K217" s="16">
        <f>I217*J217</f>
        <v>272000</v>
      </c>
      <c r="L217" s="16">
        <f>K217*12</f>
        <v>3264000</v>
      </c>
      <c r="M217" s="16">
        <v>69000</v>
      </c>
      <c r="N217" s="16">
        <f>M217*12</f>
        <v>828000</v>
      </c>
      <c r="O217" s="16">
        <f>L217+N217</f>
        <v>4092000</v>
      </c>
      <c r="P217" s="14"/>
    </row>
    <row r="218" spans="1:16" s="51" customFormat="1" ht="15" x14ac:dyDescent="0.25">
      <c r="A218" s="6">
        <v>2</v>
      </c>
      <c r="B218" s="72" t="s">
        <v>458</v>
      </c>
      <c r="C218" s="6" t="s">
        <v>262</v>
      </c>
      <c r="D218" s="6">
        <v>180</v>
      </c>
      <c r="E218" s="6" t="s">
        <v>62</v>
      </c>
      <c r="F218" s="6">
        <v>1</v>
      </c>
      <c r="G218" s="6">
        <v>2</v>
      </c>
      <c r="H218" s="6">
        <v>2</v>
      </c>
      <c r="I218" s="6">
        <f>G218*H218</f>
        <v>4</v>
      </c>
      <c r="J218" s="16">
        <v>68000</v>
      </c>
      <c r="K218" s="16">
        <f>I218*J218</f>
        <v>272000</v>
      </c>
      <c r="L218" s="16">
        <f>K218*12</f>
        <v>3264000</v>
      </c>
      <c r="M218" s="16">
        <v>69000</v>
      </c>
      <c r="N218" s="16">
        <f>M218*12</f>
        <v>828000</v>
      </c>
      <c r="O218" s="189">
        <f>L218+N218</f>
        <v>4092000</v>
      </c>
      <c r="P218" s="14"/>
    </row>
    <row r="219" spans="1:16" s="51" customFormat="1" ht="30" x14ac:dyDescent="0.25">
      <c r="A219" s="6">
        <v>3</v>
      </c>
      <c r="B219" s="72" t="s">
        <v>328</v>
      </c>
      <c r="C219" s="6" t="s">
        <v>263</v>
      </c>
      <c r="D219" s="6">
        <v>181</v>
      </c>
      <c r="E219" s="6" t="s">
        <v>62</v>
      </c>
      <c r="F219" s="6">
        <v>1</v>
      </c>
      <c r="G219" s="6">
        <v>2</v>
      </c>
      <c r="H219" s="6">
        <v>2</v>
      </c>
      <c r="I219" s="6">
        <f>G219*H219</f>
        <v>4</v>
      </c>
      <c r="J219" s="16">
        <v>68000</v>
      </c>
      <c r="K219" s="16">
        <f>I219*J219</f>
        <v>272000</v>
      </c>
      <c r="L219" s="16">
        <f>K219*12</f>
        <v>3264000</v>
      </c>
      <c r="M219" s="16">
        <v>69000</v>
      </c>
      <c r="N219" s="16">
        <f>M219*12</f>
        <v>828000</v>
      </c>
      <c r="O219" s="16">
        <f>L219+N219</f>
        <v>4092000</v>
      </c>
      <c r="P219" s="230">
        <f>O219</f>
        <v>4092000</v>
      </c>
    </row>
    <row r="220" spans="1:16" s="51" customFormat="1" ht="15" x14ac:dyDescent="0.25">
      <c r="A220" s="6">
        <v>4</v>
      </c>
      <c r="B220" s="76" t="s">
        <v>298</v>
      </c>
      <c r="C220" s="77" t="s">
        <v>299</v>
      </c>
      <c r="D220" s="89">
        <v>182</v>
      </c>
      <c r="E220" s="89" t="s">
        <v>62</v>
      </c>
      <c r="F220" s="89">
        <v>1</v>
      </c>
      <c r="G220" s="89">
        <v>2</v>
      </c>
      <c r="H220" s="89">
        <v>2</v>
      </c>
      <c r="I220" s="89">
        <v>4</v>
      </c>
      <c r="J220" s="90">
        <v>68000</v>
      </c>
      <c r="K220" s="90">
        <f>J220*I220</f>
        <v>272000</v>
      </c>
      <c r="L220" s="90">
        <f>K220*12</f>
        <v>3264000</v>
      </c>
      <c r="M220" s="90">
        <v>69000</v>
      </c>
      <c r="N220" s="90">
        <f>M220*12</f>
        <v>828000</v>
      </c>
      <c r="O220" s="90">
        <f>L220+N220</f>
        <v>4092000</v>
      </c>
      <c r="P220" s="108"/>
    </row>
    <row r="221" spans="1:16" s="51" customFormat="1" ht="15" x14ac:dyDescent="0.25">
      <c r="A221" s="159"/>
      <c r="B221" s="100"/>
      <c r="C221" s="160"/>
      <c r="D221" s="160"/>
      <c r="E221" s="160"/>
      <c r="F221" s="161">
        <f>SUM(F217:F220)</f>
        <v>4</v>
      </c>
      <c r="G221" s="160"/>
      <c r="H221" s="160"/>
      <c r="I221" s="160"/>
      <c r="J221" s="162"/>
      <c r="K221" s="162"/>
      <c r="L221" s="162">
        <f>SUM(L217:L220)</f>
        <v>13056000</v>
      </c>
      <c r="M221" s="162"/>
      <c r="N221" s="17">
        <f>SUM(N217:N220)</f>
        <v>3312000</v>
      </c>
      <c r="O221" s="17">
        <f>SUM(O217:O220)</f>
        <v>16368000</v>
      </c>
      <c r="P221" s="108"/>
    </row>
    <row r="222" spans="1:16" x14ac:dyDescent="0.3">
      <c r="A222" s="123">
        <f>A18+A23+A37+A42+A62+A92+A108+A117+A136+A144+A148+A193+A214+A220</f>
        <v>184</v>
      </c>
      <c r="B222" s="267" t="s">
        <v>90</v>
      </c>
      <c r="C222" s="268"/>
      <c r="D222" s="47"/>
      <c r="E222" s="47"/>
      <c r="F222" s="48">
        <f>F221+F215+F194+F149+F145+F137+F118+F109+F93+F63+F43+F38+F24+F19</f>
        <v>232</v>
      </c>
      <c r="G222" s="48"/>
      <c r="H222" s="48"/>
      <c r="I222" s="48"/>
      <c r="J222" s="48"/>
      <c r="K222" s="50"/>
      <c r="L222" s="48">
        <f>L221+L215+L194+L149+L145+L137+L118+L109+L93+L63+L43+L38+L24+L19</f>
        <v>758349600</v>
      </c>
      <c r="M222" s="48"/>
      <c r="N222" s="48">
        <f>N221+N215+N194+N149+N145+N137+N118+N109+N93+N63+N43+N38+N24+N19</f>
        <v>140760000</v>
      </c>
      <c r="O222" s="48">
        <f>O221+O215+O194+O149+O145+O137+O118+O109+O93+O63+O43+O38+O24+O19</f>
        <v>901389600</v>
      </c>
      <c r="P222" s="48"/>
    </row>
    <row r="223" spans="1:16" x14ac:dyDescent="0.3">
      <c r="B223" s="42" t="s">
        <v>99</v>
      </c>
      <c r="D223" s="83"/>
      <c r="E223" s="57" t="s">
        <v>265</v>
      </c>
      <c r="F223" s="58"/>
      <c r="G223" s="59" t="s">
        <v>266</v>
      </c>
      <c r="H223" s="42"/>
      <c r="I223" s="33"/>
      <c r="K223" s="269"/>
      <c r="L223" s="270"/>
      <c r="M223" s="270"/>
      <c r="N223" s="270"/>
      <c r="O223" s="270"/>
      <c r="P223" s="23"/>
    </row>
    <row r="224" spans="1:16" x14ac:dyDescent="0.3">
      <c r="B224" s="2"/>
      <c r="I224" s="31"/>
      <c r="J224" s="30"/>
      <c r="K224" s="262"/>
      <c r="L224" s="262"/>
      <c r="M224" s="262"/>
      <c r="N224" s="262"/>
      <c r="O224" s="262"/>
    </row>
    <row r="225" spans="1:15" x14ac:dyDescent="0.3">
      <c r="B225" s="2"/>
      <c r="D225" s="68"/>
      <c r="G225" s="35"/>
      <c r="H225" s="31"/>
      <c r="I225" s="35"/>
      <c r="J225" s="39"/>
      <c r="K225" s="262"/>
      <c r="L225" s="262"/>
      <c r="M225" s="262"/>
      <c r="N225" s="262"/>
      <c r="O225" s="262"/>
    </row>
    <row r="226" spans="1:15" x14ac:dyDescent="0.3">
      <c r="A226" s="1"/>
      <c r="B226" s="2"/>
      <c r="E226" s="1"/>
      <c r="F226" s="1"/>
      <c r="G226" s="1"/>
      <c r="H226" s="36"/>
      <c r="I226" s="1"/>
      <c r="J226" s="1"/>
      <c r="K226" s="1"/>
      <c r="L226" s="1"/>
      <c r="M226" s="1"/>
      <c r="N226" s="1"/>
      <c r="O226" s="20"/>
    </row>
    <row r="227" spans="1:15" x14ac:dyDescent="0.3">
      <c r="A227" s="1"/>
      <c r="B227" s="2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1"/>
    </row>
    <row r="228" spans="1:15" x14ac:dyDescent="0.3">
      <c r="A228" s="1"/>
      <c r="B228" s="2" t="s">
        <v>295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0"/>
    </row>
    <row r="229" spans="1:15" x14ac:dyDescent="0.3">
      <c r="A229" s="1"/>
      <c r="B229" s="2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1" spans="1:15" x14ac:dyDescent="0.3">
      <c r="B231" s="1" t="s">
        <v>481</v>
      </c>
      <c r="C231" s="1" t="s">
        <v>482</v>
      </c>
      <c r="G231" s="2" t="s">
        <v>483</v>
      </c>
      <c r="H231" s="2">
        <v>2</v>
      </c>
      <c r="I231" s="2">
        <v>2</v>
      </c>
    </row>
  </sheetData>
  <autoFilter ref="A7:AC223" xr:uid="{00000000-0009-0000-0000-000000000000}"/>
  <mergeCells count="32">
    <mergeCell ref="A1:C1"/>
    <mergeCell ref="J1:O1"/>
    <mergeCell ref="A2:C2"/>
    <mergeCell ref="J2:O2"/>
    <mergeCell ref="A4:P4"/>
    <mergeCell ref="G6:I6"/>
    <mergeCell ref="J6:L6"/>
    <mergeCell ref="M6:N6"/>
    <mergeCell ref="O6:O7"/>
    <mergeCell ref="A44:P44"/>
    <mergeCell ref="A9:P9"/>
    <mergeCell ref="A20:P20"/>
    <mergeCell ref="A25:P25"/>
    <mergeCell ref="A39:P39"/>
    <mergeCell ref="P6:P7"/>
    <mergeCell ref="A6:A7"/>
    <mergeCell ref="B6:B7"/>
    <mergeCell ref="C6:C7"/>
    <mergeCell ref="D6:D7"/>
    <mergeCell ref="E6:E7"/>
    <mergeCell ref="F6:F7"/>
    <mergeCell ref="A64:P64"/>
    <mergeCell ref="B222:C222"/>
    <mergeCell ref="K223:O223"/>
    <mergeCell ref="K224:O224"/>
    <mergeCell ref="K225:O225"/>
    <mergeCell ref="A94:P94"/>
    <mergeCell ref="A110:P110"/>
    <mergeCell ref="A119:P119"/>
    <mergeCell ref="A138:P138"/>
    <mergeCell ref="A195:P195"/>
    <mergeCell ref="A216:P216"/>
  </mergeCells>
  <conditionalFormatting sqref="B220">
    <cfRule type="duplicateValues" dxfId="1" priority="1"/>
  </conditionalFormatting>
  <pageMargins left="0" right="0" top="0.27559055118110237" bottom="0.31496062992125984" header="0.19685039370078741" footer="0.23622047244094491"/>
  <pageSetup paperSize="9" scale="80" orientation="landscape" verticalDpi="0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51F3-A4E5-4C8D-B8FC-5C22A0F3F3AE}">
  <dimension ref="A1:T50"/>
  <sheetViews>
    <sheetView topLeftCell="A28" workbookViewId="0">
      <selection activeCell="G40" sqref="G40"/>
    </sheetView>
  </sheetViews>
  <sheetFormatPr defaultRowHeight="15" x14ac:dyDescent="0.25"/>
  <cols>
    <col min="1" max="1" width="6.28515625" customWidth="1"/>
    <col min="2" max="2" width="18.140625" customWidth="1"/>
    <col min="3" max="3" width="16.85546875" customWidth="1"/>
    <col min="4" max="4" width="7.7109375" customWidth="1"/>
    <col min="12" max="12" width="10.140625" customWidth="1"/>
    <col min="15" max="15" width="11.5703125" customWidth="1"/>
    <col min="16" max="16" width="12.42578125" customWidth="1"/>
    <col min="19" max="19" width="10.140625" bestFit="1" customWidth="1"/>
  </cols>
  <sheetData>
    <row r="1" spans="1:20" ht="18.75" x14ac:dyDescent="0.3">
      <c r="A1" s="260" t="s">
        <v>467</v>
      </c>
      <c r="B1" s="260"/>
      <c r="C1" s="260"/>
      <c r="D1" s="213"/>
      <c r="E1" s="2"/>
      <c r="F1" s="2"/>
      <c r="G1" s="2"/>
      <c r="H1" s="2"/>
      <c r="I1" s="2"/>
      <c r="K1" s="212"/>
      <c r="L1" s="261" t="s">
        <v>103</v>
      </c>
      <c r="M1" s="261"/>
      <c r="N1" s="261"/>
      <c r="O1" s="261"/>
      <c r="P1" s="261"/>
      <c r="Q1" s="261"/>
      <c r="R1" s="212"/>
      <c r="S1" s="212"/>
      <c r="T1" s="2"/>
    </row>
    <row r="2" spans="1:20" ht="18.75" x14ac:dyDescent="0.3">
      <c r="A2" s="261" t="s">
        <v>468</v>
      </c>
      <c r="B2" s="261"/>
      <c r="C2" s="261"/>
      <c r="D2" s="212"/>
      <c r="E2" s="2"/>
      <c r="F2" s="2"/>
      <c r="G2" s="2"/>
      <c r="H2" s="2"/>
      <c r="I2" s="2"/>
      <c r="K2" s="42"/>
      <c r="L2" s="262" t="s">
        <v>104</v>
      </c>
      <c r="M2" s="262"/>
      <c r="N2" s="262"/>
      <c r="O2" s="262"/>
      <c r="P2" s="262"/>
      <c r="Q2" s="262"/>
      <c r="R2" s="42"/>
      <c r="S2" s="42"/>
      <c r="T2" s="2"/>
    </row>
    <row r="3" spans="1:20" ht="18.75" x14ac:dyDescent="0.3">
      <c r="A3" s="2"/>
      <c r="B3" s="20"/>
      <c r="C3" s="1"/>
      <c r="D3" s="1"/>
      <c r="E3" s="2"/>
      <c r="F3" s="2"/>
      <c r="G3" s="2"/>
      <c r="H3" s="2"/>
      <c r="I3" s="2"/>
      <c r="J3" s="42"/>
      <c r="K3" s="42"/>
      <c r="L3" s="42"/>
      <c r="M3" s="42"/>
      <c r="N3" s="42"/>
      <c r="O3" s="42"/>
      <c r="P3" s="42"/>
      <c r="Q3" s="42"/>
      <c r="R3" s="42"/>
      <c r="S3" s="42"/>
      <c r="T3" s="2"/>
    </row>
    <row r="4" spans="1:20" ht="18.75" x14ac:dyDescent="0.25">
      <c r="A4" s="263" t="s">
        <v>469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</row>
    <row r="5" spans="1:20" ht="18.75" x14ac:dyDescent="0.3">
      <c r="A5" s="2"/>
      <c r="B5" s="1"/>
      <c r="C5" s="1"/>
      <c r="D5" s="1"/>
      <c r="E5" s="2"/>
      <c r="F5" s="2"/>
      <c r="G5" s="2"/>
      <c r="H5" s="2"/>
      <c r="I5" s="2"/>
      <c r="J5" s="15"/>
      <c r="K5" s="15"/>
      <c r="L5" s="15"/>
      <c r="M5" s="15"/>
      <c r="N5" s="15"/>
      <c r="O5" s="15"/>
      <c r="P5" s="15"/>
      <c r="Q5" s="15"/>
      <c r="R5" s="15"/>
      <c r="S5" s="15"/>
      <c r="T5" s="2"/>
    </row>
    <row r="6" spans="1:20" ht="28.5" customHeight="1" x14ac:dyDescent="0.25">
      <c r="A6" s="259" t="s">
        <v>0</v>
      </c>
      <c r="B6" s="259" t="s">
        <v>1</v>
      </c>
      <c r="C6" s="259" t="s">
        <v>2</v>
      </c>
      <c r="D6" s="259" t="s">
        <v>459</v>
      </c>
      <c r="E6" s="259" t="s">
        <v>3</v>
      </c>
      <c r="F6" s="259" t="s">
        <v>4</v>
      </c>
      <c r="G6" s="259" t="s">
        <v>96</v>
      </c>
      <c r="H6" s="259"/>
      <c r="I6" s="259" t="s">
        <v>5</v>
      </c>
      <c r="J6" s="259"/>
      <c r="K6" s="259"/>
      <c r="L6" s="259"/>
      <c r="M6" s="259" t="s">
        <v>6</v>
      </c>
      <c r="N6" s="259"/>
      <c r="O6" s="259" t="s">
        <v>364</v>
      </c>
      <c r="P6" s="259" t="s">
        <v>460</v>
      </c>
      <c r="Q6" s="259"/>
      <c r="R6" s="259"/>
      <c r="S6" s="259"/>
      <c r="T6" s="43" t="s">
        <v>25</v>
      </c>
    </row>
    <row r="7" spans="1:20" ht="28.5" x14ac:dyDescent="0.25">
      <c r="A7" s="259"/>
      <c r="B7" s="259"/>
      <c r="C7" s="259"/>
      <c r="D7" s="259"/>
      <c r="E7" s="259"/>
      <c r="F7" s="259"/>
      <c r="G7" s="43" t="s">
        <v>97</v>
      </c>
      <c r="H7" s="43" t="s">
        <v>98</v>
      </c>
      <c r="I7" s="43" t="s">
        <v>118</v>
      </c>
      <c r="J7" s="43" t="s">
        <v>101</v>
      </c>
      <c r="K7" s="43" t="s">
        <v>95</v>
      </c>
      <c r="L7" s="43" t="s">
        <v>363</v>
      </c>
      <c r="M7" s="43" t="s">
        <v>95</v>
      </c>
      <c r="N7" s="43" t="s">
        <v>363</v>
      </c>
      <c r="O7" s="259"/>
      <c r="P7" s="220" t="s">
        <v>461</v>
      </c>
      <c r="Q7" s="220" t="s">
        <v>462</v>
      </c>
      <c r="R7" s="220" t="s">
        <v>463</v>
      </c>
      <c r="S7" s="220" t="s">
        <v>464</v>
      </c>
      <c r="T7" s="43"/>
    </row>
    <row r="8" spans="1:20" ht="30" x14ac:dyDescent="0.25">
      <c r="A8" s="124">
        <v>1</v>
      </c>
      <c r="B8" s="192" t="s">
        <v>296</v>
      </c>
      <c r="C8" s="124" t="s">
        <v>297</v>
      </c>
      <c r="D8" s="124">
        <v>69</v>
      </c>
      <c r="E8" s="124" t="s">
        <v>49</v>
      </c>
      <c r="F8" s="124">
        <v>1</v>
      </c>
      <c r="G8" s="124">
        <v>1.5</v>
      </c>
      <c r="H8" s="124">
        <v>2</v>
      </c>
      <c r="I8" s="124">
        <f>G8*H8</f>
        <v>3</v>
      </c>
      <c r="J8" s="186">
        <v>68000</v>
      </c>
      <c r="K8" s="186">
        <f t="shared" ref="K8:K10" si="0">I8*J8</f>
        <v>204000</v>
      </c>
      <c r="L8" s="186">
        <f>K8*12</f>
        <v>2448000</v>
      </c>
      <c r="M8" s="186">
        <v>69000</v>
      </c>
      <c r="N8" s="186">
        <f>M8*12</f>
        <v>828000</v>
      </c>
      <c r="O8" s="186">
        <f t="shared" ref="O8:O9" si="1">L8+N8</f>
        <v>3276000</v>
      </c>
      <c r="P8" s="186">
        <f>O8</f>
        <v>3276000</v>
      </c>
      <c r="Q8" s="130" t="s">
        <v>465</v>
      </c>
      <c r="R8" s="221" t="s">
        <v>466</v>
      </c>
      <c r="S8" s="82">
        <v>45810</v>
      </c>
      <c r="T8" s="103"/>
    </row>
    <row r="9" spans="1:20" ht="45" x14ac:dyDescent="0.25">
      <c r="A9" s="12">
        <v>2</v>
      </c>
      <c r="B9" s="195" t="s">
        <v>411</v>
      </c>
      <c r="C9" s="184" t="s">
        <v>412</v>
      </c>
      <c r="D9" s="124">
        <v>85</v>
      </c>
      <c r="E9" s="124" t="s">
        <v>53</v>
      </c>
      <c r="F9" s="124">
        <v>1</v>
      </c>
      <c r="G9" s="124">
        <v>2</v>
      </c>
      <c r="H9" s="124">
        <v>2</v>
      </c>
      <c r="I9" s="124">
        <f t="shared" ref="I9:I10" si="2">G9*H9</f>
        <v>4</v>
      </c>
      <c r="J9" s="186">
        <v>68000</v>
      </c>
      <c r="K9" s="186">
        <f t="shared" si="0"/>
        <v>272000</v>
      </c>
      <c r="L9" s="186">
        <f t="shared" ref="L9:L10" si="3">K9*12</f>
        <v>3264000</v>
      </c>
      <c r="M9" s="186">
        <v>69000</v>
      </c>
      <c r="N9" s="186">
        <f t="shared" ref="N9:N10" si="4">M9*12</f>
        <v>828000</v>
      </c>
      <c r="O9" s="186">
        <f t="shared" si="1"/>
        <v>4092000</v>
      </c>
      <c r="P9" s="219"/>
      <c r="Q9" s="232"/>
      <c r="R9" s="233"/>
      <c r="S9" s="234"/>
    </row>
    <row r="10" spans="1:20" x14ac:dyDescent="0.25">
      <c r="A10" s="124">
        <v>3</v>
      </c>
      <c r="B10" s="85" t="s">
        <v>32</v>
      </c>
      <c r="C10" s="7" t="s">
        <v>334</v>
      </c>
      <c r="D10" s="211" t="s">
        <v>439</v>
      </c>
      <c r="E10" s="6" t="s">
        <v>173</v>
      </c>
      <c r="F10" s="6">
        <v>1</v>
      </c>
      <c r="G10" s="6">
        <v>1.8</v>
      </c>
      <c r="H10" s="6">
        <v>2.1</v>
      </c>
      <c r="I10" s="6">
        <f t="shared" si="2"/>
        <v>3.7800000000000002</v>
      </c>
      <c r="J10" s="16">
        <v>105000</v>
      </c>
      <c r="K10" s="16">
        <f t="shared" si="0"/>
        <v>396900</v>
      </c>
      <c r="L10" s="16">
        <f t="shared" si="3"/>
        <v>4762800</v>
      </c>
      <c r="M10" s="16">
        <v>69000</v>
      </c>
      <c r="N10" s="16">
        <f t="shared" si="4"/>
        <v>828000</v>
      </c>
      <c r="O10" s="16">
        <f>L10+N10</f>
        <v>5590800</v>
      </c>
      <c r="P10" s="219"/>
      <c r="Q10" s="232"/>
      <c r="R10" s="233"/>
      <c r="S10" s="234"/>
    </row>
    <row r="11" spans="1:20" s="245" customFormat="1" ht="30" x14ac:dyDescent="0.25">
      <c r="A11" s="12">
        <v>4</v>
      </c>
      <c r="B11" s="215" t="s">
        <v>476</v>
      </c>
      <c r="C11" s="214" t="s">
        <v>478</v>
      </c>
      <c r="D11" s="214">
        <v>118</v>
      </c>
      <c r="E11" s="214" t="s">
        <v>278</v>
      </c>
      <c r="F11" s="214">
        <v>1</v>
      </c>
      <c r="G11" s="214"/>
      <c r="H11" s="214"/>
      <c r="I11" s="240"/>
      <c r="J11" s="216"/>
      <c r="K11" s="216">
        <v>1500000</v>
      </c>
      <c r="L11" s="216">
        <f>K11*12</f>
        <v>18000000</v>
      </c>
      <c r="M11" s="216"/>
      <c r="N11" s="216"/>
      <c r="O11" s="216">
        <v>9000000</v>
      </c>
      <c r="P11" s="241"/>
      <c r="Q11" s="242"/>
      <c r="R11" s="243"/>
      <c r="S11" s="244"/>
    </row>
    <row r="12" spans="1:20" ht="30" x14ac:dyDescent="0.25">
      <c r="A12" s="124">
        <v>5</v>
      </c>
      <c r="B12" s="192" t="s">
        <v>108</v>
      </c>
      <c r="C12" s="124" t="s">
        <v>114</v>
      </c>
      <c r="D12" s="124">
        <v>47</v>
      </c>
      <c r="E12" s="124" t="s">
        <v>49</v>
      </c>
      <c r="F12" s="124">
        <v>2</v>
      </c>
      <c r="G12" s="124">
        <v>3</v>
      </c>
      <c r="H12" s="124">
        <v>2</v>
      </c>
      <c r="I12" s="124">
        <f t="shared" ref="I12:I16" si="5">G12*H12</f>
        <v>6</v>
      </c>
      <c r="J12" s="186">
        <v>68000</v>
      </c>
      <c r="K12" s="186">
        <f t="shared" ref="K12:K16" si="6">I12*J12</f>
        <v>408000</v>
      </c>
      <c r="L12" s="186">
        <f t="shared" ref="L12:L16" si="7">K12*12</f>
        <v>4896000</v>
      </c>
      <c r="M12" s="186">
        <v>69000</v>
      </c>
      <c r="N12" s="186">
        <f t="shared" ref="N12:N15" si="8">M12*12</f>
        <v>828000</v>
      </c>
      <c r="O12" s="186">
        <f t="shared" ref="O12:O16" si="9">L12+N12</f>
        <v>5724000</v>
      </c>
      <c r="P12" s="219"/>
      <c r="Q12" s="232"/>
      <c r="R12" s="233"/>
      <c r="S12" s="234"/>
    </row>
    <row r="13" spans="1:20" ht="30" x14ac:dyDescent="0.25">
      <c r="A13" s="12">
        <v>6</v>
      </c>
      <c r="B13" s="192" t="s">
        <v>84</v>
      </c>
      <c r="C13" s="124" t="s">
        <v>131</v>
      </c>
      <c r="D13" s="124">
        <v>147</v>
      </c>
      <c r="E13" s="124" t="s">
        <v>62</v>
      </c>
      <c r="F13" s="124">
        <v>1</v>
      </c>
      <c r="G13" s="124">
        <v>2</v>
      </c>
      <c r="H13" s="124">
        <v>2</v>
      </c>
      <c r="I13" s="124">
        <f t="shared" si="5"/>
        <v>4</v>
      </c>
      <c r="J13" s="186">
        <v>68000</v>
      </c>
      <c r="K13" s="186">
        <f t="shared" si="6"/>
        <v>272000</v>
      </c>
      <c r="L13" s="186">
        <f t="shared" si="7"/>
        <v>3264000</v>
      </c>
      <c r="M13" s="186">
        <v>69000</v>
      </c>
      <c r="N13" s="186">
        <f t="shared" si="8"/>
        <v>828000</v>
      </c>
      <c r="O13" s="186">
        <f t="shared" si="9"/>
        <v>4092000</v>
      </c>
      <c r="P13" s="219"/>
      <c r="Q13" s="232"/>
      <c r="R13" s="233"/>
      <c r="S13" s="234"/>
    </row>
    <row r="14" spans="1:20" ht="30" x14ac:dyDescent="0.25">
      <c r="A14" s="124">
        <v>7</v>
      </c>
      <c r="B14" s="193" t="s">
        <v>418</v>
      </c>
      <c r="C14" s="124" t="s">
        <v>131</v>
      </c>
      <c r="D14" s="124">
        <v>140</v>
      </c>
      <c r="E14" s="124" t="s">
        <v>62</v>
      </c>
      <c r="F14" s="124">
        <v>1</v>
      </c>
      <c r="G14" s="124">
        <v>2</v>
      </c>
      <c r="H14" s="124">
        <v>2</v>
      </c>
      <c r="I14" s="124">
        <f t="shared" si="5"/>
        <v>4</v>
      </c>
      <c r="J14" s="186">
        <v>68000</v>
      </c>
      <c r="K14" s="186">
        <f t="shared" si="6"/>
        <v>272000</v>
      </c>
      <c r="L14" s="186">
        <f t="shared" si="7"/>
        <v>3264000</v>
      </c>
      <c r="M14" s="186">
        <v>69000</v>
      </c>
      <c r="N14" s="186">
        <f t="shared" si="8"/>
        <v>828000</v>
      </c>
      <c r="O14" s="186">
        <f t="shared" si="9"/>
        <v>4092000</v>
      </c>
      <c r="P14" s="219"/>
      <c r="Q14" s="232"/>
      <c r="R14" s="233"/>
      <c r="S14" s="234"/>
    </row>
    <row r="15" spans="1:20" ht="30" x14ac:dyDescent="0.25">
      <c r="A15" s="12">
        <v>8</v>
      </c>
      <c r="B15" s="192" t="s">
        <v>349</v>
      </c>
      <c r="C15" s="124" t="s">
        <v>105</v>
      </c>
      <c r="D15" s="124">
        <v>48</v>
      </c>
      <c r="E15" s="124" t="s">
        <v>49</v>
      </c>
      <c r="F15" s="124">
        <v>1</v>
      </c>
      <c r="G15" s="124">
        <v>1.5</v>
      </c>
      <c r="H15" s="124">
        <v>2</v>
      </c>
      <c r="I15" s="124">
        <f t="shared" si="5"/>
        <v>3</v>
      </c>
      <c r="J15" s="186">
        <v>68000</v>
      </c>
      <c r="K15" s="186">
        <f t="shared" si="6"/>
        <v>204000</v>
      </c>
      <c r="L15" s="186">
        <f t="shared" si="7"/>
        <v>2448000</v>
      </c>
      <c r="M15" s="186">
        <v>69000</v>
      </c>
      <c r="N15" s="186">
        <f t="shared" si="8"/>
        <v>828000</v>
      </c>
      <c r="O15" s="186">
        <f t="shared" si="9"/>
        <v>3276000</v>
      </c>
      <c r="P15" s="219"/>
      <c r="Q15" s="232"/>
      <c r="R15" s="233"/>
      <c r="S15" s="234"/>
    </row>
    <row r="16" spans="1:20" ht="30" x14ac:dyDescent="0.25">
      <c r="A16" s="124">
        <v>9</v>
      </c>
      <c r="B16" s="192" t="s">
        <v>270</v>
      </c>
      <c r="C16" s="124" t="s">
        <v>235</v>
      </c>
      <c r="D16" s="124">
        <v>101</v>
      </c>
      <c r="E16" s="124" t="s">
        <v>58</v>
      </c>
      <c r="F16" s="124">
        <v>1</v>
      </c>
      <c r="G16" s="124">
        <v>2</v>
      </c>
      <c r="H16" s="124">
        <v>1.9</v>
      </c>
      <c r="I16" s="124">
        <f t="shared" si="5"/>
        <v>3.8</v>
      </c>
      <c r="J16" s="186">
        <v>50000</v>
      </c>
      <c r="K16" s="186">
        <f t="shared" si="6"/>
        <v>190000</v>
      </c>
      <c r="L16" s="186">
        <f t="shared" si="7"/>
        <v>2280000</v>
      </c>
      <c r="M16" s="186">
        <v>69000</v>
      </c>
      <c r="N16" s="186">
        <f>M16*12</f>
        <v>828000</v>
      </c>
      <c r="O16" s="186">
        <f t="shared" si="9"/>
        <v>3108000</v>
      </c>
      <c r="P16" s="219"/>
      <c r="Q16" s="232"/>
      <c r="R16" s="233"/>
      <c r="S16" s="234"/>
    </row>
    <row r="17" spans="1:19" ht="30" x14ac:dyDescent="0.25">
      <c r="A17" s="12">
        <v>10</v>
      </c>
      <c r="B17" s="182" t="s">
        <v>342</v>
      </c>
      <c r="C17" s="183" t="s">
        <v>133</v>
      </c>
      <c r="D17" s="211" t="s">
        <v>442</v>
      </c>
      <c r="E17" s="6" t="s">
        <v>501</v>
      </c>
      <c r="F17" s="6">
        <v>1</v>
      </c>
      <c r="G17" s="6">
        <v>1</v>
      </c>
      <c r="H17" s="6">
        <v>3.78</v>
      </c>
      <c r="I17" s="6">
        <f t="shared" ref="I17:I18" si="10">G17*H17</f>
        <v>3.78</v>
      </c>
      <c r="J17" s="16">
        <v>105000</v>
      </c>
      <c r="K17" s="16">
        <f t="shared" ref="K17:K19" si="11">I17*J17</f>
        <v>396900</v>
      </c>
      <c r="L17" s="16">
        <f t="shared" ref="L17" si="12">K17*12</f>
        <v>4762800</v>
      </c>
      <c r="M17" s="16">
        <v>69000</v>
      </c>
      <c r="N17" s="16">
        <f t="shared" ref="N17" si="13">M17*12</f>
        <v>828000</v>
      </c>
      <c r="O17" s="91">
        <f t="shared" ref="O17" si="14">L17+N17</f>
        <v>5590800</v>
      </c>
      <c r="P17" s="219"/>
      <c r="Q17" s="232"/>
      <c r="R17" s="233"/>
      <c r="S17" s="234"/>
    </row>
    <row r="18" spans="1:19" x14ac:dyDescent="0.25">
      <c r="A18" s="124">
        <v>11</v>
      </c>
      <c r="B18" s="85" t="s">
        <v>245</v>
      </c>
      <c r="C18" s="7" t="s">
        <v>320</v>
      </c>
      <c r="D18" s="211" t="s">
        <v>445</v>
      </c>
      <c r="E18" s="6" t="s">
        <v>59</v>
      </c>
      <c r="F18" s="6">
        <v>2</v>
      </c>
      <c r="G18" s="6">
        <f>1.8*2</f>
        <v>3.6</v>
      </c>
      <c r="H18" s="6">
        <v>2.1</v>
      </c>
      <c r="I18" s="6">
        <f t="shared" si="10"/>
        <v>7.5600000000000005</v>
      </c>
      <c r="J18" s="16">
        <v>105000</v>
      </c>
      <c r="K18" s="16">
        <f t="shared" si="11"/>
        <v>793800</v>
      </c>
      <c r="L18" s="16">
        <f>K18*12</f>
        <v>9525600</v>
      </c>
      <c r="M18" s="16"/>
      <c r="N18" s="16"/>
      <c r="O18" s="16">
        <f>L18+N18</f>
        <v>9525600</v>
      </c>
      <c r="P18" s="219"/>
      <c r="Q18" s="232"/>
      <c r="R18" s="233"/>
      <c r="S18" s="234"/>
    </row>
    <row r="19" spans="1:19" x14ac:dyDescent="0.25">
      <c r="A19" s="12">
        <v>12</v>
      </c>
      <c r="B19" s="184" t="s">
        <v>245</v>
      </c>
      <c r="C19" s="184" t="s">
        <v>253</v>
      </c>
      <c r="D19" s="124">
        <v>83</v>
      </c>
      <c r="E19" s="124" t="s">
        <v>53</v>
      </c>
      <c r="F19" s="124">
        <v>1</v>
      </c>
      <c r="G19" s="124">
        <v>2</v>
      </c>
      <c r="H19" s="124">
        <v>2</v>
      </c>
      <c r="I19" s="124">
        <v>4</v>
      </c>
      <c r="J19" s="186">
        <v>68000</v>
      </c>
      <c r="K19" s="186">
        <f t="shared" si="11"/>
        <v>272000</v>
      </c>
      <c r="L19" s="186">
        <f>K19*12</f>
        <v>3264000</v>
      </c>
      <c r="M19" s="186">
        <v>69000</v>
      </c>
      <c r="N19" s="186">
        <f>M19*12</f>
        <v>828000</v>
      </c>
      <c r="O19" s="186">
        <f t="shared" ref="O19" si="15">L19+N19</f>
        <v>4092000</v>
      </c>
      <c r="P19" s="219"/>
      <c r="Q19" s="232"/>
      <c r="R19" s="233"/>
      <c r="S19" s="234"/>
    </row>
    <row r="20" spans="1:19" ht="30" x14ac:dyDescent="0.25">
      <c r="A20" s="124">
        <v>13</v>
      </c>
      <c r="B20" s="72" t="s">
        <v>328</v>
      </c>
      <c r="C20" s="6" t="s">
        <v>263</v>
      </c>
      <c r="D20" s="6">
        <v>181</v>
      </c>
      <c r="E20" s="6" t="s">
        <v>62</v>
      </c>
      <c r="F20" s="6">
        <v>1</v>
      </c>
      <c r="G20" s="6">
        <v>2</v>
      </c>
      <c r="H20" s="6">
        <v>2</v>
      </c>
      <c r="I20" s="6">
        <f>G20*H20</f>
        <v>4</v>
      </c>
      <c r="J20" s="16">
        <v>68000</v>
      </c>
      <c r="K20" s="16">
        <f>I20*J20</f>
        <v>272000</v>
      </c>
      <c r="L20" s="16">
        <f>K20*12</f>
        <v>3264000</v>
      </c>
      <c r="M20" s="16">
        <v>69000</v>
      </c>
      <c r="N20" s="16">
        <f>M20*12</f>
        <v>828000</v>
      </c>
      <c r="O20" s="16">
        <f>L20+N20</f>
        <v>4092000</v>
      </c>
    </row>
    <row r="21" spans="1:19" ht="45" x14ac:dyDescent="0.25">
      <c r="A21" s="12">
        <v>14</v>
      </c>
      <c r="B21" s="192" t="s">
        <v>82</v>
      </c>
      <c r="C21" s="124" t="s">
        <v>502</v>
      </c>
      <c r="D21" s="124">
        <v>144</v>
      </c>
      <c r="E21" s="124" t="s">
        <v>62</v>
      </c>
      <c r="F21" s="124">
        <v>1</v>
      </c>
      <c r="G21" s="124">
        <v>2</v>
      </c>
      <c r="H21" s="124">
        <v>2</v>
      </c>
      <c r="I21" s="124">
        <f t="shared" ref="I21:I35" si="16">G21*H21</f>
        <v>4</v>
      </c>
      <c r="J21" s="186">
        <v>68000</v>
      </c>
      <c r="K21" s="186">
        <f t="shared" ref="K21:K35" si="17">I21*J21</f>
        <v>272000</v>
      </c>
      <c r="L21" s="186">
        <f t="shared" ref="L21:L35" si="18">K21*12</f>
        <v>3264000</v>
      </c>
      <c r="M21" s="186">
        <v>69000</v>
      </c>
      <c r="N21" s="186">
        <f t="shared" ref="N21:N25" si="19">M21*12</f>
        <v>828000</v>
      </c>
      <c r="O21" s="186">
        <f t="shared" ref="O21:O30" si="20">L21+N21</f>
        <v>4092000</v>
      </c>
    </row>
    <row r="22" spans="1:19" ht="30" x14ac:dyDescent="0.25">
      <c r="A22" s="124">
        <v>15</v>
      </c>
      <c r="B22" s="72" t="s">
        <v>67</v>
      </c>
      <c r="C22" s="6" t="s">
        <v>135</v>
      </c>
      <c r="D22" s="6">
        <v>113</v>
      </c>
      <c r="E22" s="6" t="s">
        <v>15</v>
      </c>
      <c r="F22" s="6">
        <v>2</v>
      </c>
      <c r="G22" s="6">
        <v>4</v>
      </c>
      <c r="H22" s="6">
        <v>1.5</v>
      </c>
      <c r="I22" s="13">
        <f t="shared" si="16"/>
        <v>6</v>
      </c>
      <c r="J22" s="16">
        <v>50000</v>
      </c>
      <c r="K22" s="16">
        <f t="shared" si="17"/>
        <v>300000</v>
      </c>
      <c r="L22" s="16">
        <f t="shared" si="18"/>
        <v>3600000</v>
      </c>
      <c r="M22" s="16">
        <v>69000</v>
      </c>
      <c r="N22" s="16">
        <f t="shared" si="19"/>
        <v>828000</v>
      </c>
      <c r="O22" s="16">
        <f t="shared" si="20"/>
        <v>4428000</v>
      </c>
    </row>
    <row r="23" spans="1:19" ht="30" x14ac:dyDescent="0.25">
      <c r="A23" s="12">
        <v>16</v>
      </c>
      <c r="B23" s="192" t="s">
        <v>448</v>
      </c>
      <c r="C23" s="124" t="s">
        <v>449</v>
      </c>
      <c r="D23" s="124">
        <v>52</v>
      </c>
      <c r="E23" s="124" t="s">
        <v>49</v>
      </c>
      <c r="F23" s="124">
        <v>1</v>
      </c>
      <c r="G23" s="124">
        <v>1.5</v>
      </c>
      <c r="H23" s="124">
        <v>2</v>
      </c>
      <c r="I23" s="124">
        <f t="shared" si="16"/>
        <v>3</v>
      </c>
      <c r="J23" s="186">
        <v>68000</v>
      </c>
      <c r="K23" s="186">
        <f t="shared" si="17"/>
        <v>204000</v>
      </c>
      <c r="L23" s="186">
        <f t="shared" si="18"/>
        <v>2448000</v>
      </c>
      <c r="M23" s="186">
        <v>69000</v>
      </c>
      <c r="N23" s="186">
        <f t="shared" si="19"/>
        <v>828000</v>
      </c>
      <c r="O23" s="186">
        <f t="shared" si="20"/>
        <v>3276000</v>
      </c>
    </row>
    <row r="24" spans="1:19" ht="30" x14ac:dyDescent="0.25">
      <c r="A24" s="12"/>
      <c r="B24" s="180" t="s">
        <v>8</v>
      </c>
      <c r="C24" s="181" t="s">
        <v>170</v>
      </c>
      <c r="D24" s="211" t="s">
        <v>447</v>
      </c>
      <c r="E24" s="60" t="s">
        <v>12</v>
      </c>
      <c r="F24" s="60">
        <v>1</v>
      </c>
      <c r="G24" s="60">
        <v>1.8</v>
      </c>
      <c r="H24" s="60">
        <v>2.1</v>
      </c>
      <c r="I24" s="60">
        <f t="shared" si="16"/>
        <v>3.7800000000000002</v>
      </c>
      <c r="J24" s="61">
        <v>105000</v>
      </c>
      <c r="K24" s="61">
        <f t="shared" si="17"/>
        <v>396900</v>
      </c>
      <c r="L24" s="61">
        <f t="shared" si="18"/>
        <v>4762800</v>
      </c>
      <c r="M24" s="61">
        <v>69000</v>
      </c>
      <c r="N24" s="61">
        <f t="shared" si="19"/>
        <v>828000</v>
      </c>
      <c r="O24" s="61">
        <f t="shared" si="20"/>
        <v>5590800</v>
      </c>
    </row>
    <row r="25" spans="1:19" ht="30" x14ac:dyDescent="0.25">
      <c r="A25" s="12"/>
      <c r="B25" s="192" t="s">
        <v>115</v>
      </c>
      <c r="C25" s="124" t="s">
        <v>116</v>
      </c>
      <c r="D25" s="124">
        <v>60</v>
      </c>
      <c r="E25" s="124" t="s">
        <v>49</v>
      </c>
      <c r="F25" s="124">
        <v>1</v>
      </c>
      <c r="G25" s="124">
        <v>1.5</v>
      </c>
      <c r="H25" s="124">
        <v>2</v>
      </c>
      <c r="I25" s="124">
        <f t="shared" si="16"/>
        <v>3</v>
      </c>
      <c r="J25" s="186">
        <v>68000</v>
      </c>
      <c r="K25" s="186">
        <f t="shared" si="17"/>
        <v>204000</v>
      </c>
      <c r="L25" s="186">
        <f t="shared" si="18"/>
        <v>2448000</v>
      </c>
      <c r="M25" s="186">
        <v>69000</v>
      </c>
      <c r="N25" s="186">
        <f t="shared" si="19"/>
        <v>828000</v>
      </c>
      <c r="O25" s="186">
        <f t="shared" si="20"/>
        <v>3276000</v>
      </c>
    </row>
    <row r="26" spans="1:19" ht="30" x14ac:dyDescent="0.25">
      <c r="A26" s="12"/>
      <c r="B26" s="126" t="s">
        <v>66</v>
      </c>
      <c r="C26" s="6" t="s">
        <v>232</v>
      </c>
      <c r="D26" s="6">
        <v>112</v>
      </c>
      <c r="E26" s="6" t="s">
        <v>15</v>
      </c>
      <c r="F26" s="6">
        <v>2</v>
      </c>
      <c r="G26" s="6">
        <v>4</v>
      </c>
      <c r="H26" s="6">
        <v>1.5</v>
      </c>
      <c r="I26" s="13">
        <f t="shared" si="16"/>
        <v>6</v>
      </c>
      <c r="J26" s="16">
        <v>50000</v>
      </c>
      <c r="K26" s="16">
        <f t="shared" si="17"/>
        <v>300000</v>
      </c>
      <c r="L26" s="16">
        <f t="shared" si="18"/>
        <v>3600000</v>
      </c>
      <c r="M26" s="16">
        <v>69000</v>
      </c>
      <c r="N26" s="16">
        <f>M26*12</f>
        <v>828000</v>
      </c>
      <c r="O26" s="16">
        <f t="shared" si="20"/>
        <v>4428000</v>
      </c>
    </row>
    <row r="27" spans="1:19" ht="30" x14ac:dyDescent="0.25">
      <c r="A27" s="12"/>
      <c r="B27" s="126" t="s">
        <v>66</v>
      </c>
      <c r="C27" s="6" t="s">
        <v>232</v>
      </c>
      <c r="D27" s="6">
        <v>21</v>
      </c>
      <c r="E27" s="6"/>
      <c r="F27" s="6">
        <v>1</v>
      </c>
      <c r="G27" s="6">
        <v>2</v>
      </c>
      <c r="H27" s="6">
        <v>2</v>
      </c>
      <c r="I27" s="6">
        <f t="shared" si="16"/>
        <v>4</v>
      </c>
      <c r="J27" s="16">
        <v>85000</v>
      </c>
      <c r="K27" s="16">
        <f t="shared" si="17"/>
        <v>340000</v>
      </c>
      <c r="L27" s="16">
        <f t="shared" si="18"/>
        <v>4080000</v>
      </c>
      <c r="M27" s="16"/>
      <c r="N27" s="16"/>
      <c r="O27" s="16">
        <f t="shared" si="20"/>
        <v>4080000</v>
      </c>
    </row>
    <row r="28" spans="1:19" ht="45" x14ac:dyDescent="0.25">
      <c r="A28" s="12"/>
      <c r="B28" s="192" t="s">
        <v>41</v>
      </c>
      <c r="C28" s="124" t="s">
        <v>205</v>
      </c>
      <c r="D28" s="124">
        <v>56</v>
      </c>
      <c r="E28" s="124" t="s">
        <v>49</v>
      </c>
      <c r="F28" s="124">
        <v>1</v>
      </c>
      <c r="G28" s="124">
        <v>1.5</v>
      </c>
      <c r="H28" s="124">
        <v>2</v>
      </c>
      <c r="I28" s="124">
        <f t="shared" si="16"/>
        <v>3</v>
      </c>
      <c r="J28" s="186">
        <v>68000</v>
      </c>
      <c r="K28" s="186">
        <f t="shared" si="17"/>
        <v>204000</v>
      </c>
      <c r="L28" s="186">
        <f t="shared" si="18"/>
        <v>2448000</v>
      </c>
      <c r="M28" s="186">
        <v>69000</v>
      </c>
      <c r="N28" s="186">
        <f t="shared" ref="N28:N30" si="21">M28*12</f>
        <v>828000</v>
      </c>
      <c r="O28" s="186">
        <f t="shared" si="20"/>
        <v>3276000</v>
      </c>
    </row>
    <row r="29" spans="1:19" x14ac:dyDescent="0.25">
      <c r="A29" s="12"/>
      <c r="B29" s="192" t="s">
        <v>79</v>
      </c>
      <c r="C29" s="124" t="s">
        <v>179</v>
      </c>
      <c r="D29" s="124">
        <v>137</v>
      </c>
      <c r="E29" s="124" t="s">
        <v>62</v>
      </c>
      <c r="F29" s="124">
        <v>1</v>
      </c>
      <c r="G29" s="124">
        <v>2</v>
      </c>
      <c r="H29" s="124">
        <v>2</v>
      </c>
      <c r="I29" s="124">
        <f t="shared" si="16"/>
        <v>4</v>
      </c>
      <c r="J29" s="186">
        <v>68000</v>
      </c>
      <c r="K29" s="186">
        <f t="shared" si="17"/>
        <v>272000</v>
      </c>
      <c r="L29" s="186">
        <f t="shared" si="18"/>
        <v>3264000</v>
      </c>
      <c r="M29" s="186">
        <v>69000</v>
      </c>
      <c r="N29" s="186">
        <f t="shared" si="21"/>
        <v>828000</v>
      </c>
      <c r="O29" s="186">
        <f t="shared" si="20"/>
        <v>4092000</v>
      </c>
    </row>
    <row r="30" spans="1:19" ht="25.5" x14ac:dyDescent="0.25">
      <c r="A30" s="12"/>
      <c r="B30" s="85" t="s">
        <v>433</v>
      </c>
      <c r="C30" s="7" t="s">
        <v>434</v>
      </c>
      <c r="D30" s="211" t="s">
        <v>446</v>
      </c>
      <c r="E30" s="6" t="s">
        <v>15</v>
      </c>
      <c r="F30" s="6">
        <v>3</v>
      </c>
      <c r="G30" s="6">
        <f>1.8*3</f>
        <v>5.4</v>
      </c>
      <c r="H30" s="6">
        <v>2.1</v>
      </c>
      <c r="I30" s="6">
        <f t="shared" si="16"/>
        <v>11.340000000000002</v>
      </c>
      <c r="J30" s="16">
        <v>105000</v>
      </c>
      <c r="K30" s="16">
        <f t="shared" si="17"/>
        <v>1190700.0000000002</v>
      </c>
      <c r="L30" s="16">
        <f t="shared" si="18"/>
        <v>14288400.000000004</v>
      </c>
      <c r="M30" s="16">
        <v>69000</v>
      </c>
      <c r="N30" s="16">
        <f t="shared" si="21"/>
        <v>828000</v>
      </c>
      <c r="O30" s="16">
        <f t="shared" si="20"/>
        <v>15116400.000000004</v>
      </c>
    </row>
    <row r="31" spans="1:19" ht="30" x14ac:dyDescent="0.25">
      <c r="A31" s="12"/>
      <c r="B31" s="193" t="s">
        <v>413</v>
      </c>
      <c r="C31" s="124" t="s">
        <v>414</v>
      </c>
      <c r="D31" s="124">
        <v>105</v>
      </c>
      <c r="E31" s="124" t="s">
        <v>62</v>
      </c>
      <c r="F31" s="124">
        <v>1</v>
      </c>
      <c r="G31" s="124">
        <v>2</v>
      </c>
      <c r="H31" s="124">
        <v>1.9</v>
      </c>
      <c r="I31" s="124">
        <f t="shared" si="16"/>
        <v>3.8</v>
      </c>
      <c r="J31" s="186">
        <v>50000</v>
      </c>
      <c r="K31" s="186">
        <f t="shared" si="17"/>
        <v>190000</v>
      </c>
      <c r="L31" s="186">
        <f t="shared" si="18"/>
        <v>2280000</v>
      </c>
      <c r="M31" s="186">
        <v>69000</v>
      </c>
      <c r="N31" s="186">
        <f>M31*12</f>
        <v>828000</v>
      </c>
      <c r="O31" s="186">
        <f>L31+N31</f>
        <v>3108000</v>
      </c>
    </row>
    <row r="32" spans="1:19" ht="30" x14ac:dyDescent="0.25">
      <c r="A32" s="12"/>
      <c r="B32" s="199" t="s">
        <v>77</v>
      </c>
      <c r="C32" s="200" t="s">
        <v>194</v>
      </c>
      <c r="D32" s="124">
        <v>133</v>
      </c>
      <c r="E32" s="200" t="s">
        <v>62</v>
      </c>
      <c r="F32" s="200">
        <v>1</v>
      </c>
      <c r="G32" s="200">
        <v>2</v>
      </c>
      <c r="H32" s="200">
        <v>2</v>
      </c>
      <c r="I32" s="200">
        <f t="shared" si="16"/>
        <v>4</v>
      </c>
      <c r="J32" s="201">
        <v>68000</v>
      </c>
      <c r="K32" s="201">
        <f t="shared" si="17"/>
        <v>272000</v>
      </c>
      <c r="L32" s="201">
        <f t="shared" si="18"/>
        <v>3264000</v>
      </c>
      <c r="M32" s="201">
        <v>69000</v>
      </c>
      <c r="N32" s="201">
        <f t="shared" ref="N32:N35" si="22">M32*12</f>
        <v>828000</v>
      </c>
      <c r="O32" s="201">
        <f t="shared" ref="O32:O35" si="23">L32+N32</f>
        <v>4092000</v>
      </c>
    </row>
    <row r="33" spans="1:15" ht="30" x14ac:dyDescent="0.25">
      <c r="A33" s="12"/>
      <c r="B33" s="72" t="s">
        <v>68</v>
      </c>
      <c r="C33" s="6" t="s">
        <v>199</v>
      </c>
      <c r="D33" s="6">
        <v>114</v>
      </c>
      <c r="E33" s="6" t="s">
        <v>15</v>
      </c>
      <c r="F33" s="6">
        <v>2</v>
      </c>
      <c r="G33" s="6">
        <v>4</v>
      </c>
      <c r="H33" s="6">
        <v>1.5</v>
      </c>
      <c r="I33" s="13">
        <f t="shared" si="16"/>
        <v>6</v>
      </c>
      <c r="J33" s="16">
        <v>50000</v>
      </c>
      <c r="K33" s="16">
        <f t="shared" si="17"/>
        <v>300000</v>
      </c>
      <c r="L33" s="16">
        <f t="shared" si="18"/>
        <v>3600000</v>
      </c>
      <c r="M33" s="16">
        <v>69000</v>
      </c>
      <c r="N33" s="16">
        <f t="shared" si="22"/>
        <v>828000</v>
      </c>
      <c r="O33" s="16">
        <f t="shared" si="23"/>
        <v>4428000</v>
      </c>
    </row>
    <row r="34" spans="1:15" ht="30" x14ac:dyDescent="0.25">
      <c r="A34" s="12"/>
      <c r="B34" s="192" t="s">
        <v>32</v>
      </c>
      <c r="C34" s="124" t="s">
        <v>174</v>
      </c>
      <c r="D34" s="124">
        <v>142</v>
      </c>
      <c r="E34" s="124" t="s">
        <v>62</v>
      </c>
      <c r="F34" s="124">
        <v>1</v>
      </c>
      <c r="G34" s="124">
        <v>2</v>
      </c>
      <c r="H34" s="124">
        <v>2</v>
      </c>
      <c r="I34" s="124">
        <f t="shared" si="16"/>
        <v>4</v>
      </c>
      <c r="J34" s="186">
        <v>68000</v>
      </c>
      <c r="K34" s="186">
        <f t="shared" si="17"/>
        <v>272000</v>
      </c>
      <c r="L34" s="186">
        <f t="shared" si="18"/>
        <v>3264000</v>
      </c>
      <c r="M34" s="186">
        <v>69000</v>
      </c>
      <c r="N34" s="186">
        <f t="shared" si="22"/>
        <v>828000</v>
      </c>
      <c r="O34" s="186">
        <f t="shared" si="23"/>
        <v>4092000</v>
      </c>
    </row>
    <row r="35" spans="1:15" ht="30" x14ac:dyDescent="0.25">
      <c r="A35" s="12"/>
      <c r="B35" s="192" t="s">
        <v>47</v>
      </c>
      <c r="C35" s="124" t="s">
        <v>187</v>
      </c>
      <c r="D35" s="124">
        <v>64</v>
      </c>
      <c r="E35" s="124" t="s">
        <v>49</v>
      </c>
      <c r="F35" s="124">
        <v>1</v>
      </c>
      <c r="G35" s="124">
        <v>1.5</v>
      </c>
      <c r="H35" s="124">
        <v>2</v>
      </c>
      <c r="I35" s="124">
        <f t="shared" si="16"/>
        <v>3</v>
      </c>
      <c r="J35" s="186">
        <v>68000</v>
      </c>
      <c r="K35" s="186">
        <f t="shared" si="17"/>
        <v>204000</v>
      </c>
      <c r="L35" s="186">
        <f t="shared" si="18"/>
        <v>2448000</v>
      </c>
      <c r="M35" s="186">
        <v>69000</v>
      </c>
      <c r="N35" s="186">
        <f t="shared" si="22"/>
        <v>828000</v>
      </c>
      <c r="O35" s="186">
        <f t="shared" si="23"/>
        <v>3276000</v>
      </c>
    </row>
    <row r="36" spans="1:15" x14ac:dyDescent="0.25">
      <c r="A36" s="12"/>
      <c r="B36" s="257"/>
      <c r="C36" s="12"/>
      <c r="D36" s="12"/>
      <c r="E36" s="12"/>
      <c r="F36" s="12"/>
      <c r="G36" s="12"/>
      <c r="H36" s="12"/>
      <c r="I36" s="12"/>
      <c r="J36" s="219"/>
      <c r="K36" s="219"/>
      <c r="L36" s="219"/>
      <c r="M36" s="219"/>
      <c r="N36" s="219"/>
      <c r="O36" s="219"/>
    </row>
    <row r="37" spans="1:15" x14ac:dyDescent="0.25">
      <c r="A37" s="12"/>
      <c r="B37" s="257"/>
      <c r="C37" s="12"/>
      <c r="D37" s="12"/>
      <c r="E37" s="12"/>
      <c r="F37" s="12"/>
      <c r="G37" s="12"/>
      <c r="H37" s="12"/>
      <c r="I37" s="12"/>
      <c r="J37" s="219"/>
      <c r="K37" s="219"/>
      <c r="L37" s="219"/>
      <c r="M37" s="219"/>
      <c r="N37" s="219"/>
      <c r="O37" s="219"/>
    </row>
    <row r="38" spans="1:15" x14ac:dyDescent="0.25">
      <c r="A38" s="12"/>
      <c r="B38" s="257"/>
      <c r="C38" s="12"/>
      <c r="D38" s="12"/>
      <c r="E38" s="12"/>
      <c r="F38" s="12"/>
      <c r="G38" s="12"/>
      <c r="H38" s="12"/>
      <c r="I38" s="12"/>
      <c r="J38" s="219"/>
      <c r="K38" s="219"/>
      <c r="L38" s="219"/>
      <c r="M38" s="219"/>
      <c r="N38" s="219"/>
      <c r="O38" s="219"/>
    </row>
    <row r="39" spans="1:15" x14ac:dyDescent="0.25">
      <c r="A39" s="12"/>
      <c r="B39" s="257"/>
      <c r="C39" s="12"/>
      <c r="D39" s="12"/>
      <c r="E39" s="12"/>
      <c r="F39" s="12"/>
      <c r="G39" s="12"/>
      <c r="H39" s="12"/>
      <c r="I39" s="12"/>
      <c r="J39" s="219"/>
      <c r="K39" s="219"/>
      <c r="L39" s="219"/>
      <c r="M39" s="219"/>
      <c r="N39" s="219"/>
      <c r="O39" s="219"/>
    </row>
    <row r="40" spans="1:15" x14ac:dyDescent="0.25">
      <c r="A40" s="12"/>
      <c r="B40" s="257"/>
      <c r="C40" s="12"/>
      <c r="D40" s="12"/>
      <c r="E40" s="12"/>
      <c r="F40" s="12"/>
      <c r="G40" s="12"/>
      <c r="H40" s="12"/>
      <c r="I40" s="12"/>
      <c r="J40" s="219"/>
      <c r="K40" s="219"/>
      <c r="L40" s="219"/>
      <c r="M40" s="219"/>
      <c r="N40" s="219"/>
      <c r="O40" s="219"/>
    </row>
    <row r="41" spans="1:15" x14ac:dyDescent="0.25">
      <c r="A41" s="12"/>
      <c r="B41" s="257"/>
      <c r="C41" s="12"/>
      <c r="D41" s="12"/>
      <c r="E41" s="12"/>
      <c r="F41" s="12"/>
      <c r="G41" s="12"/>
      <c r="H41" s="12"/>
      <c r="I41" s="12"/>
      <c r="J41" s="219"/>
      <c r="K41" s="219"/>
      <c r="L41" s="219"/>
      <c r="M41" s="219"/>
      <c r="N41" s="219"/>
      <c r="O41" s="219"/>
    </row>
    <row r="42" spans="1:15" x14ac:dyDescent="0.25">
      <c r="A42" s="12"/>
      <c r="B42" s="257"/>
      <c r="C42" s="12"/>
      <c r="D42" s="12"/>
      <c r="E42" s="12"/>
      <c r="F42" s="12"/>
      <c r="G42" s="12"/>
      <c r="H42" s="12"/>
      <c r="I42" s="12"/>
      <c r="J42" s="219"/>
      <c r="K42" s="219"/>
      <c r="L42" s="219"/>
      <c r="M42" s="219"/>
      <c r="N42" s="219"/>
      <c r="O42" s="219"/>
    </row>
    <row r="43" spans="1:15" x14ac:dyDescent="0.25">
      <c r="A43" s="12"/>
      <c r="B43" s="257"/>
      <c r="C43" s="12"/>
      <c r="D43" s="12"/>
      <c r="E43" s="12"/>
      <c r="F43" s="12"/>
      <c r="G43" s="12"/>
      <c r="H43" s="12"/>
      <c r="I43" s="12"/>
      <c r="J43" s="219"/>
      <c r="K43" s="219"/>
      <c r="L43" s="219"/>
      <c r="M43" s="219"/>
      <c r="N43" s="219"/>
      <c r="O43" s="219"/>
    </row>
    <row r="44" spans="1:15" x14ac:dyDescent="0.25">
      <c r="A44" s="12"/>
      <c r="B44" s="257"/>
      <c r="C44" s="12"/>
      <c r="D44" s="12"/>
      <c r="E44" s="12"/>
      <c r="F44" s="12"/>
      <c r="G44" s="12"/>
      <c r="H44" s="12"/>
      <c r="I44" s="12"/>
      <c r="J44" s="219"/>
      <c r="K44" s="219"/>
      <c r="L44" s="219"/>
      <c r="M44" s="219"/>
      <c r="N44" s="219"/>
      <c r="O44" s="219"/>
    </row>
    <row r="45" spans="1:15" x14ac:dyDescent="0.25">
      <c r="A45" s="12"/>
      <c r="B45" s="257"/>
      <c r="C45" s="12"/>
      <c r="D45" s="12"/>
      <c r="E45" s="12"/>
      <c r="F45" s="12"/>
      <c r="G45" s="12"/>
      <c r="H45" s="12"/>
      <c r="I45" s="12"/>
      <c r="J45" s="219"/>
      <c r="K45" s="219"/>
      <c r="L45" s="219"/>
      <c r="M45" s="219"/>
      <c r="N45" s="219"/>
      <c r="O45" s="219"/>
    </row>
    <row r="46" spans="1:15" x14ac:dyDescent="0.25">
      <c r="A46" s="12"/>
      <c r="B46" s="257"/>
      <c r="C46" s="12"/>
      <c r="D46" s="12"/>
      <c r="E46" s="12"/>
      <c r="F46" s="12"/>
      <c r="G46" s="12"/>
      <c r="H46" s="12"/>
      <c r="I46" s="12"/>
      <c r="J46" s="219"/>
      <c r="K46" s="219"/>
      <c r="L46" s="219"/>
      <c r="M46" s="219"/>
      <c r="N46" s="219"/>
      <c r="O46" s="219"/>
    </row>
    <row r="47" spans="1:15" x14ac:dyDescent="0.25">
      <c r="A47" s="12"/>
      <c r="B47" s="257"/>
      <c r="C47" s="12"/>
      <c r="D47" s="12"/>
      <c r="E47" s="12"/>
      <c r="F47" s="12"/>
      <c r="G47" s="12"/>
      <c r="H47" s="12"/>
      <c r="I47" s="12"/>
      <c r="J47" s="219"/>
      <c r="K47" s="219"/>
      <c r="L47" s="219"/>
      <c r="M47" s="219"/>
      <c r="N47" s="219"/>
      <c r="O47" s="219"/>
    </row>
    <row r="48" spans="1:15" x14ac:dyDescent="0.25">
      <c r="A48" s="12"/>
      <c r="B48" s="257"/>
      <c r="C48" s="12"/>
      <c r="D48" s="12"/>
      <c r="E48" s="12"/>
      <c r="F48" s="12"/>
      <c r="G48" s="12"/>
      <c r="H48" s="12"/>
      <c r="I48" s="12"/>
      <c r="J48" s="219"/>
      <c r="K48" s="219"/>
      <c r="L48" s="219"/>
      <c r="M48" s="219"/>
      <c r="N48" s="219"/>
      <c r="O48" s="219"/>
    </row>
    <row r="50" spans="15:15" x14ac:dyDescent="0.25">
      <c r="O50" s="249">
        <f>SUM(O8:O49)</f>
        <v>136202400</v>
      </c>
    </row>
  </sheetData>
  <mergeCells count="16">
    <mergeCell ref="D6:D7"/>
    <mergeCell ref="A1:C1"/>
    <mergeCell ref="L1:Q1"/>
    <mergeCell ref="A2:C2"/>
    <mergeCell ref="L2:Q2"/>
    <mergeCell ref="A4:T4"/>
    <mergeCell ref="A6:A7"/>
    <mergeCell ref="B6:B7"/>
    <mergeCell ref="C6:C7"/>
    <mergeCell ref="E6:E7"/>
    <mergeCell ref="F6:F7"/>
    <mergeCell ref="G6:H6"/>
    <mergeCell ref="I6:L6"/>
    <mergeCell ref="M6:N6"/>
    <mergeCell ref="O6:O7"/>
    <mergeCell ref="P6:S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26"/>
  <sheetViews>
    <sheetView zoomScale="85" zoomScaleNormal="85" workbookViewId="0">
      <pane ySplit="7" topLeftCell="A127" activePane="bottomLeft" state="frozen"/>
      <selection pane="bottomLeft" activeCell="E129" sqref="E129"/>
    </sheetView>
  </sheetViews>
  <sheetFormatPr defaultColWidth="9.140625" defaultRowHeight="18.75" x14ac:dyDescent="0.3"/>
  <cols>
    <col min="1" max="1" width="5.42578125" style="2" customWidth="1"/>
    <col min="2" max="2" width="21.85546875" style="1" customWidth="1"/>
    <col min="3" max="3" width="21.140625" style="1" customWidth="1"/>
    <col min="4" max="4" width="6.140625" style="2" customWidth="1"/>
    <col min="5" max="5" width="9.85546875" style="2" customWidth="1"/>
    <col min="6" max="6" width="5.42578125" style="2" customWidth="1"/>
    <col min="7" max="7" width="6.140625" style="2" customWidth="1"/>
    <col min="8" max="8" width="6.28515625" style="2" customWidth="1"/>
    <col min="9" max="9" width="6.85546875" style="2" customWidth="1"/>
    <col min="10" max="10" width="8.5703125" style="15" customWidth="1"/>
    <col min="11" max="11" width="9.85546875" style="15" customWidth="1"/>
    <col min="12" max="12" width="12.42578125" style="15" customWidth="1"/>
    <col min="13" max="13" width="7.85546875" style="15" customWidth="1"/>
    <col min="14" max="14" width="11.85546875" style="15" customWidth="1"/>
    <col min="15" max="15" width="13.5703125" style="15" customWidth="1"/>
    <col min="16" max="16" width="16.7109375" style="1" customWidth="1"/>
    <col min="17" max="17" width="11.42578125" style="1" bestFit="1" customWidth="1"/>
    <col min="18" max="16384" width="9.140625" style="1"/>
  </cols>
  <sheetData>
    <row r="1" spans="1:22" x14ac:dyDescent="0.3">
      <c r="A1" s="261" t="s">
        <v>403</v>
      </c>
      <c r="B1" s="261"/>
      <c r="C1" s="261"/>
      <c r="D1" s="42"/>
      <c r="J1" s="261" t="s">
        <v>103</v>
      </c>
      <c r="K1" s="261"/>
      <c r="L1" s="261"/>
      <c r="M1" s="261"/>
      <c r="N1" s="261"/>
      <c r="O1" s="261"/>
    </row>
    <row r="2" spans="1:22" x14ac:dyDescent="0.3">
      <c r="A2" s="260" t="s">
        <v>404</v>
      </c>
      <c r="B2" s="260"/>
      <c r="C2" s="260"/>
      <c r="J2" s="262" t="s">
        <v>104</v>
      </c>
      <c r="K2" s="262"/>
      <c r="L2" s="262"/>
      <c r="M2" s="262"/>
      <c r="N2" s="262"/>
      <c r="O2" s="262"/>
      <c r="Q2" s="129"/>
      <c r="R2" s="129"/>
      <c r="S2" s="129"/>
      <c r="T2" s="129"/>
      <c r="U2" s="129"/>
      <c r="V2" s="129"/>
    </row>
    <row r="3" spans="1:22" x14ac:dyDescent="0.3">
      <c r="B3" s="20"/>
      <c r="J3" s="42"/>
      <c r="K3" s="42"/>
      <c r="L3" s="42"/>
      <c r="M3" s="42"/>
      <c r="N3" s="42"/>
      <c r="O3" s="42"/>
    </row>
    <row r="4" spans="1:22" ht="45" customHeight="1" x14ac:dyDescent="0.3">
      <c r="A4" s="263" t="s">
        <v>424</v>
      </c>
      <c r="B4" s="263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</row>
    <row r="5" spans="1:22" x14ac:dyDescent="0.3">
      <c r="P5" s="15" t="s">
        <v>102</v>
      </c>
    </row>
    <row r="6" spans="1:22" s="24" customFormat="1" ht="12.75" x14ac:dyDescent="0.25">
      <c r="A6" s="283" t="s">
        <v>0</v>
      </c>
      <c r="B6" s="283" t="s">
        <v>1</v>
      </c>
      <c r="C6" s="283" t="s">
        <v>2</v>
      </c>
      <c r="D6" s="283" t="s">
        <v>94</v>
      </c>
      <c r="E6" s="283" t="s">
        <v>3</v>
      </c>
      <c r="F6" s="283" t="s">
        <v>4</v>
      </c>
      <c r="G6" s="259" t="s">
        <v>96</v>
      </c>
      <c r="H6" s="259"/>
      <c r="I6" s="259"/>
      <c r="J6" s="280" t="s">
        <v>5</v>
      </c>
      <c r="K6" s="281"/>
      <c r="L6" s="282"/>
      <c r="M6" s="280" t="s">
        <v>6</v>
      </c>
      <c r="N6" s="282"/>
      <c r="O6" s="283" t="s">
        <v>364</v>
      </c>
      <c r="P6" s="283" t="s">
        <v>25</v>
      </c>
    </row>
    <row r="7" spans="1:22" s="24" customFormat="1" ht="28.5" x14ac:dyDescent="0.25">
      <c r="A7" s="284"/>
      <c r="B7" s="284"/>
      <c r="C7" s="284"/>
      <c r="D7" s="284"/>
      <c r="E7" s="284"/>
      <c r="F7" s="284"/>
      <c r="G7" s="43" t="s">
        <v>97</v>
      </c>
      <c r="H7" s="43" t="s">
        <v>98</v>
      </c>
      <c r="I7" s="43" t="s">
        <v>118</v>
      </c>
      <c r="J7" s="43" t="s">
        <v>101</v>
      </c>
      <c r="K7" s="43" t="s">
        <v>95</v>
      </c>
      <c r="L7" s="43" t="s">
        <v>363</v>
      </c>
      <c r="M7" s="43" t="s">
        <v>95</v>
      </c>
      <c r="N7" s="43" t="s">
        <v>363</v>
      </c>
      <c r="O7" s="284"/>
      <c r="P7" s="284"/>
    </row>
    <row r="8" spans="1:22" s="5" customFormat="1" ht="24" x14ac:dyDescent="0.25">
      <c r="A8" s="93">
        <v>1</v>
      </c>
      <c r="B8" s="93">
        <v>2</v>
      </c>
      <c r="C8" s="46">
        <v>3</v>
      </c>
      <c r="D8" s="46"/>
      <c r="E8" s="46">
        <v>4</v>
      </c>
      <c r="F8" s="46">
        <v>6</v>
      </c>
      <c r="G8" s="46">
        <v>7</v>
      </c>
      <c r="H8" s="46">
        <v>8</v>
      </c>
      <c r="I8" s="46" t="s">
        <v>119</v>
      </c>
      <c r="J8" s="46">
        <v>10</v>
      </c>
      <c r="K8" s="46" t="s">
        <v>120</v>
      </c>
      <c r="L8" s="46" t="s">
        <v>121</v>
      </c>
      <c r="M8" s="46">
        <v>13</v>
      </c>
      <c r="N8" s="46" t="s">
        <v>122</v>
      </c>
      <c r="O8" s="46" t="s">
        <v>123</v>
      </c>
      <c r="P8" s="46">
        <v>19</v>
      </c>
    </row>
    <row r="9" spans="1:22" s="3" customFormat="1" ht="12.75" x14ac:dyDescent="0.2">
      <c r="A9" s="285" t="s">
        <v>303</v>
      </c>
      <c r="B9" s="285"/>
      <c r="C9" s="285"/>
      <c r="D9" s="285"/>
      <c r="E9" s="285"/>
      <c r="F9" s="285"/>
      <c r="G9" s="285"/>
      <c r="H9" s="285"/>
      <c r="I9" s="285"/>
      <c r="J9" s="285"/>
      <c r="K9" s="285"/>
      <c r="L9" s="285"/>
      <c r="M9" s="285"/>
      <c r="N9" s="285"/>
      <c r="O9" s="285"/>
      <c r="P9" s="286"/>
    </row>
    <row r="10" spans="1:22" s="53" customFormat="1" ht="15" x14ac:dyDescent="0.25">
      <c r="A10" s="6">
        <v>1</v>
      </c>
      <c r="B10" s="85" t="s">
        <v>32</v>
      </c>
      <c r="C10" s="7" t="s">
        <v>334</v>
      </c>
      <c r="D10" s="211" t="s">
        <v>439</v>
      </c>
      <c r="E10" s="6" t="s">
        <v>173</v>
      </c>
      <c r="F10" s="6">
        <v>1</v>
      </c>
      <c r="G10" s="6">
        <v>1.8</v>
      </c>
      <c r="H10" s="6">
        <v>2.1</v>
      </c>
      <c r="I10" s="6">
        <f t="shared" ref="I10:I18" si="0">G10*H10</f>
        <v>3.7800000000000002</v>
      </c>
      <c r="J10" s="16">
        <v>105000</v>
      </c>
      <c r="K10" s="16">
        <f t="shared" ref="K10:K60" si="1">I10*J10</f>
        <v>396900</v>
      </c>
      <c r="L10" s="16">
        <f t="shared" ref="L10:L18" si="2">K10*12</f>
        <v>4762800</v>
      </c>
      <c r="M10" s="16">
        <v>69000</v>
      </c>
      <c r="N10" s="16">
        <f t="shared" ref="N10:N18" si="3">M10*12</f>
        <v>828000</v>
      </c>
      <c r="O10" s="16">
        <f>L10+N10</f>
        <v>5590800</v>
      </c>
      <c r="P10" s="14"/>
    </row>
    <row r="11" spans="1:22" s="8" customFormat="1" ht="15" x14ac:dyDescent="0.25">
      <c r="A11" s="6">
        <v>2</v>
      </c>
      <c r="B11" s="92" t="s">
        <v>7</v>
      </c>
      <c r="C11" s="7" t="s">
        <v>343</v>
      </c>
      <c r="D11" s="211" t="s">
        <v>440</v>
      </c>
      <c r="E11" s="6" t="s">
        <v>11</v>
      </c>
      <c r="F11" s="6">
        <v>1</v>
      </c>
      <c r="G11" s="6">
        <v>1.8</v>
      </c>
      <c r="H11" s="6">
        <v>2.1</v>
      </c>
      <c r="I11" s="6">
        <f t="shared" si="0"/>
        <v>3.7800000000000002</v>
      </c>
      <c r="J11" s="16">
        <v>105000</v>
      </c>
      <c r="K11" s="16">
        <f t="shared" si="1"/>
        <v>396900</v>
      </c>
      <c r="L11" s="16">
        <f t="shared" si="2"/>
        <v>4762800</v>
      </c>
      <c r="M11" s="16">
        <v>69000</v>
      </c>
      <c r="N11" s="16">
        <f t="shared" si="3"/>
        <v>828000</v>
      </c>
      <c r="O11" s="16">
        <f>L11+N11</f>
        <v>5590800</v>
      </c>
      <c r="P11" s="88"/>
    </row>
    <row r="12" spans="1:22" s="67" customFormat="1" ht="15" x14ac:dyDescent="0.25">
      <c r="A12" s="6">
        <v>3</v>
      </c>
      <c r="B12" s="180" t="s">
        <v>8</v>
      </c>
      <c r="C12" s="181" t="s">
        <v>170</v>
      </c>
      <c r="D12" s="211" t="s">
        <v>447</v>
      </c>
      <c r="E12" s="60" t="s">
        <v>12</v>
      </c>
      <c r="F12" s="60">
        <v>1</v>
      </c>
      <c r="G12" s="60">
        <v>1.8</v>
      </c>
      <c r="H12" s="60">
        <v>2.1</v>
      </c>
      <c r="I12" s="60">
        <f t="shared" si="0"/>
        <v>3.7800000000000002</v>
      </c>
      <c r="J12" s="61">
        <v>105000</v>
      </c>
      <c r="K12" s="61">
        <f t="shared" si="1"/>
        <v>396900</v>
      </c>
      <c r="L12" s="61">
        <f t="shared" si="2"/>
        <v>4762800</v>
      </c>
      <c r="M12" s="61">
        <v>69000</v>
      </c>
      <c r="N12" s="61">
        <f t="shared" si="3"/>
        <v>828000</v>
      </c>
      <c r="O12" s="61">
        <f t="shared" ref="O12:O18" si="4">L12+N12</f>
        <v>5590800</v>
      </c>
      <c r="P12" s="66"/>
    </row>
    <row r="13" spans="1:22" s="67" customFormat="1" ht="15" x14ac:dyDescent="0.25">
      <c r="A13" s="6">
        <v>4</v>
      </c>
      <c r="B13" s="133" t="s">
        <v>345</v>
      </c>
      <c r="C13" s="184" t="s">
        <v>346</v>
      </c>
      <c r="D13" s="211" t="s">
        <v>441</v>
      </c>
      <c r="E13" s="60" t="s">
        <v>347</v>
      </c>
      <c r="F13" s="60">
        <v>1</v>
      </c>
      <c r="G13" s="60">
        <v>1.8</v>
      </c>
      <c r="H13" s="60">
        <v>2.1</v>
      </c>
      <c r="I13" s="60">
        <f t="shared" si="0"/>
        <v>3.7800000000000002</v>
      </c>
      <c r="J13" s="61">
        <v>105000</v>
      </c>
      <c r="K13" s="61">
        <f t="shared" si="1"/>
        <v>396900</v>
      </c>
      <c r="L13" s="61">
        <f t="shared" si="2"/>
        <v>4762800</v>
      </c>
      <c r="M13" s="61">
        <v>69000</v>
      </c>
      <c r="N13" s="61">
        <f t="shared" si="3"/>
        <v>828000</v>
      </c>
      <c r="O13" s="61">
        <f t="shared" si="4"/>
        <v>5590800</v>
      </c>
      <c r="P13" s="66"/>
    </row>
    <row r="14" spans="1:22" s="8" customFormat="1" ht="30" x14ac:dyDescent="0.25">
      <c r="A14" s="6">
        <v>5</v>
      </c>
      <c r="B14" s="182" t="s">
        <v>342</v>
      </c>
      <c r="C14" s="183" t="s">
        <v>133</v>
      </c>
      <c r="D14" s="211" t="s">
        <v>442</v>
      </c>
      <c r="E14" s="6" t="s">
        <v>169</v>
      </c>
      <c r="F14" s="6">
        <v>1</v>
      </c>
      <c r="G14" s="6">
        <v>1</v>
      </c>
      <c r="H14" s="6">
        <v>3.78</v>
      </c>
      <c r="I14" s="6">
        <f t="shared" si="0"/>
        <v>3.78</v>
      </c>
      <c r="J14" s="16">
        <v>105000</v>
      </c>
      <c r="K14" s="16">
        <f t="shared" si="1"/>
        <v>396900</v>
      </c>
      <c r="L14" s="16">
        <f t="shared" si="2"/>
        <v>4762800</v>
      </c>
      <c r="M14" s="16">
        <v>69000</v>
      </c>
      <c r="N14" s="16">
        <f t="shared" si="3"/>
        <v>828000</v>
      </c>
      <c r="O14" s="91">
        <f t="shared" si="4"/>
        <v>5590800</v>
      </c>
      <c r="P14" s="27"/>
    </row>
    <row r="15" spans="1:22" s="8" customFormat="1" ht="30" x14ac:dyDescent="0.25">
      <c r="A15" s="6">
        <v>6</v>
      </c>
      <c r="B15" s="85" t="s">
        <v>9</v>
      </c>
      <c r="C15" s="7" t="s">
        <v>206</v>
      </c>
      <c r="D15" s="211" t="s">
        <v>443</v>
      </c>
      <c r="E15" s="6" t="s">
        <v>15</v>
      </c>
      <c r="F15" s="6">
        <v>2</v>
      </c>
      <c r="G15" s="6">
        <f>1.8*2</f>
        <v>3.6</v>
      </c>
      <c r="H15" s="6">
        <v>2.1</v>
      </c>
      <c r="I15" s="6">
        <f t="shared" si="0"/>
        <v>7.5600000000000005</v>
      </c>
      <c r="J15" s="16">
        <v>105000</v>
      </c>
      <c r="K15" s="16">
        <f>I15*J15</f>
        <v>793800</v>
      </c>
      <c r="L15" s="16">
        <f t="shared" si="2"/>
        <v>9525600</v>
      </c>
      <c r="M15" s="16">
        <v>69000</v>
      </c>
      <c r="N15" s="16">
        <f t="shared" si="3"/>
        <v>828000</v>
      </c>
      <c r="O15" s="16">
        <f t="shared" si="4"/>
        <v>10353600</v>
      </c>
      <c r="P15" s="27"/>
    </row>
    <row r="16" spans="1:22" s="8" customFormat="1" ht="15" x14ac:dyDescent="0.25">
      <c r="A16" s="6">
        <v>7</v>
      </c>
      <c r="B16" s="85" t="s">
        <v>10</v>
      </c>
      <c r="C16" s="7" t="s">
        <v>226</v>
      </c>
      <c r="D16" s="211" t="s">
        <v>444</v>
      </c>
      <c r="E16" s="6" t="s">
        <v>59</v>
      </c>
      <c r="F16" s="6">
        <v>2</v>
      </c>
      <c r="G16" s="6">
        <f>1.8*2</f>
        <v>3.6</v>
      </c>
      <c r="H16" s="6">
        <v>2.1</v>
      </c>
      <c r="I16" s="6">
        <f t="shared" si="0"/>
        <v>7.5600000000000005</v>
      </c>
      <c r="J16" s="16">
        <v>105000</v>
      </c>
      <c r="K16" s="16">
        <f>I16*J16</f>
        <v>793800</v>
      </c>
      <c r="L16" s="16">
        <f t="shared" si="2"/>
        <v>9525600</v>
      </c>
      <c r="M16" s="16">
        <v>69000</v>
      </c>
      <c r="N16" s="16">
        <f t="shared" si="3"/>
        <v>828000</v>
      </c>
      <c r="O16" s="16">
        <f t="shared" si="4"/>
        <v>10353600</v>
      </c>
      <c r="P16" s="27"/>
    </row>
    <row r="17" spans="1:18" s="8" customFormat="1" ht="15" x14ac:dyDescent="0.25">
      <c r="A17" s="6">
        <v>8</v>
      </c>
      <c r="B17" s="85" t="s">
        <v>245</v>
      </c>
      <c r="C17" s="7" t="s">
        <v>320</v>
      </c>
      <c r="D17" s="211" t="s">
        <v>445</v>
      </c>
      <c r="E17" s="6" t="s">
        <v>59</v>
      </c>
      <c r="F17" s="6">
        <v>2</v>
      </c>
      <c r="G17" s="6">
        <f>1.8*2</f>
        <v>3.6</v>
      </c>
      <c r="H17" s="6">
        <v>2.1</v>
      </c>
      <c r="I17" s="6">
        <f t="shared" si="0"/>
        <v>7.5600000000000005</v>
      </c>
      <c r="J17" s="16">
        <v>105000</v>
      </c>
      <c r="K17" s="16">
        <f t="shared" si="1"/>
        <v>793800</v>
      </c>
      <c r="L17" s="16">
        <f>K17*12</f>
        <v>9525600</v>
      </c>
      <c r="M17" s="16"/>
      <c r="N17" s="16"/>
      <c r="O17" s="16">
        <f>L17+N17</f>
        <v>9525600</v>
      </c>
      <c r="P17" s="16"/>
    </row>
    <row r="18" spans="1:18" s="8" customFormat="1" ht="25.5" x14ac:dyDescent="0.25">
      <c r="A18" s="6">
        <v>9</v>
      </c>
      <c r="B18" s="85" t="s">
        <v>433</v>
      </c>
      <c r="C18" s="7" t="s">
        <v>434</v>
      </c>
      <c r="D18" s="211" t="s">
        <v>446</v>
      </c>
      <c r="E18" s="6" t="s">
        <v>15</v>
      </c>
      <c r="F18" s="6">
        <v>3</v>
      </c>
      <c r="G18" s="6">
        <f>1.8*3</f>
        <v>5.4</v>
      </c>
      <c r="H18" s="6">
        <v>2.1</v>
      </c>
      <c r="I18" s="6">
        <f t="shared" si="0"/>
        <v>11.340000000000002</v>
      </c>
      <c r="J18" s="16">
        <v>105000</v>
      </c>
      <c r="K18" s="16">
        <f t="shared" si="1"/>
        <v>1190700.0000000002</v>
      </c>
      <c r="L18" s="16">
        <f t="shared" si="2"/>
        <v>14288400.000000004</v>
      </c>
      <c r="M18" s="16">
        <v>69000</v>
      </c>
      <c r="N18" s="16">
        <f t="shared" si="3"/>
        <v>828000</v>
      </c>
      <c r="O18" s="16">
        <f t="shared" si="4"/>
        <v>15116400.000000004</v>
      </c>
      <c r="P18" s="16"/>
    </row>
    <row r="19" spans="1:18" s="8" customFormat="1" ht="15" x14ac:dyDescent="0.25">
      <c r="A19" s="95"/>
      <c r="B19" s="99" t="s">
        <v>304</v>
      </c>
      <c r="C19" s="96"/>
      <c r="D19" s="97"/>
      <c r="E19" s="98"/>
      <c r="F19" s="34">
        <f>SUM(F10:F18)</f>
        <v>14</v>
      </c>
      <c r="G19" s="6"/>
      <c r="H19" s="6"/>
      <c r="I19" s="6"/>
      <c r="J19" s="16"/>
      <c r="K19" s="16">
        <f>SUM(K10:K18)</f>
        <v>5556600</v>
      </c>
      <c r="L19" s="17">
        <f>SUM(L10:L18)</f>
        <v>66679200</v>
      </c>
      <c r="M19" s="16"/>
      <c r="N19" s="17">
        <f>SUM(N10:N18)</f>
        <v>6624000</v>
      </c>
      <c r="O19" s="17">
        <f>SUM(O10:O18)</f>
        <v>73303200</v>
      </c>
      <c r="P19" s="27"/>
    </row>
    <row r="20" spans="1:18" s="8" customFormat="1" ht="15" x14ac:dyDescent="0.25">
      <c r="A20" s="287" t="s">
        <v>305</v>
      </c>
      <c r="B20" s="288"/>
      <c r="C20" s="288"/>
      <c r="D20" s="288"/>
      <c r="E20" s="288"/>
      <c r="F20" s="288"/>
      <c r="G20" s="288"/>
      <c r="H20" s="288"/>
      <c r="I20" s="288"/>
      <c r="J20" s="288"/>
      <c r="K20" s="288"/>
      <c r="L20" s="288"/>
      <c r="M20" s="288"/>
      <c r="N20" s="288"/>
      <c r="O20" s="288"/>
      <c r="P20" s="289"/>
    </row>
    <row r="21" spans="1:18" s="8" customFormat="1" ht="30" x14ac:dyDescent="0.25">
      <c r="A21" s="6">
        <v>1</v>
      </c>
      <c r="B21" s="127" t="s">
        <v>16</v>
      </c>
      <c r="C21" s="7" t="s">
        <v>333</v>
      </c>
      <c r="D21" s="6">
        <v>10</v>
      </c>
      <c r="E21" s="6" t="s">
        <v>17</v>
      </c>
      <c r="F21" s="6">
        <v>2</v>
      </c>
      <c r="G21" s="6">
        <f>2*2</f>
        <v>4</v>
      </c>
      <c r="H21" s="6">
        <v>2</v>
      </c>
      <c r="I21" s="6">
        <v>8</v>
      </c>
      <c r="J21" s="16">
        <v>85000</v>
      </c>
      <c r="K21" s="16">
        <f t="shared" si="1"/>
        <v>680000</v>
      </c>
      <c r="L21" s="16">
        <f>K21*12</f>
        <v>8160000</v>
      </c>
      <c r="M21" s="16">
        <v>69000</v>
      </c>
      <c r="N21" s="16">
        <f>M21*12</f>
        <v>828000</v>
      </c>
      <c r="O21" s="16">
        <f>L21+N21</f>
        <v>8988000</v>
      </c>
      <c r="P21" s="49"/>
    </row>
    <row r="22" spans="1:18" s="8" customFormat="1" ht="30" x14ac:dyDescent="0.25">
      <c r="A22" s="6">
        <v>2</v>
      </c>
      <c r="B22" s="85" t="s">
        <v>10</v>
      </c>
      <c r="C22" s="7" t="s">
        <v>226</v>
      </c>
      <c r="D22" s="6">
        <v>11</v>
      </c>
      <c r="E22" s="6" t="s">
        <v>13</v>
      </c>
      <c r="F22" s="6">
        <v>2</v>
      </c>
      <c r="G22" s="6">
        <f>2*2</f>
        <v>4</v>
      </c>
      <c r="H22" s="6">
        <v>2</v>
      </c>
      <c r="I22" s="6">
        <f>G22*H22</f>
        <v>8</v>
      </c>
      <c r="J22" s="16">
        <v>85000</v>
      </c>
      <c r="K22" s="16">
        <f t="shared" si="1"/>
        <v>680000</v>
      </c>
      <c r="L22" s="16">
        <f>K22*12</f>
        <v>8160000</v>
      </c>
      <c r="M22" s="16"/>
      <c r="N22" s="16"/>
      <c r="O22" s="16">
        <f>L22+N22</f>
        <v>8160000</v>
      </c>
      <c r="P22" s="27"/>
    </row>
    <row r="23" spans="1:18" s="8" customFormat="1" ht="30" x14ac:dyDescent="0.25">
      <c r="A23" s="6">
        <v>3</v>
      </c>
      <c r="B23" s="85" t="s">
        <v>93</v>
      </c>
      <c r="C23" s="7" t="s">
        <v>125</v>
      </c>
      <c r="D23" s="6">
        <v>12</v>
      </c>
      <c r="E23" s="6" t="s">
        <v>18</v>
      </c>
      <c r="F23" s="6">
        <v>2</v>
      </c>
      <c r="G23" s="6">
        <f>2*2</f>
        <v>4</v>
      </c>
      <c r="H23" s="6">
        <v>2</v>
      </c>
      <c r="I23" s="6">
        <f>G23*H23</f>
        <v>8</v>
      </c>
      <c r="J23" s="16">
        <v>85000</v>
      </c>
      <c r="K23" s="16">
        <f t="shared" si="1"/>
        <v>680000</v>
      </c>
      <c r="L23" s="16">
        <f>K23*12</f>
        <v>8160000</v>
      </c>
      <c r="M23" s="16">
        <v>69000</v>
      </c>
      <c r="N23" s="16">
        <v>828000</v>
      </c>
      <c r="O23" s="16">
        <f>L23+N23</f>
        <v>8988000</v>
      </c>
      <c r="P23" s="16"/>
      <c r="Q23" s="70"/>
      <c r="R23" s="70"/>
    </row>
    <row r="24" spans="1:18" s="8" customFormat="1" ht="15" x14ac:dyDescent="0.25">
      <c r="A24" s="95"/>
      <c r="B24" s="99" t="s">
        <v>304</v>
      </c>
      <c r="C24" s="96"/>
      <c r="D24" s="97"/>
      <c r="E24" s="98"/>
      <c r="F24" s="6">
        <f>SUM(F21:F23)</f>
        <v>6</v>
      </c>
      <c r="G24" s="6"/>
      <c r="H24" s="6"/>
      <c r="I24" s="6"/>
      <c r="J24" s="16"/>
      <c r="K24" s="16"/>
      <c r="L24" s="17">
        <f>SUM(L21:L23)</f>
        <v>24480000</v>
      </c>
      <c r="M24" s="16"/>
      <c r="N24" s="17">
        <f>SUM(N21:N23)</f>
        <v>1656000</v>
      </c>
      <c r="O24" s="17">
        <f>SUM(O21:O23)</f>
        <v>26136000</v>
      </c>
      <c r="P24" s="27"/>
    </row>
    <row r="25" spans="1:18" s="11" customFormat="1" ht="15" x14ac:dyDescent="0.25">
      <c r="A25" s="287" t="s">
        <v>306</v>
      </c>
      <c r="B25" s="288"/>
      <c r="C25" s="288"/>
      <c r="D25" s="288"/>
      <c r="E25" s="288"/>
      <c r="F25" s="288"/>
      <c r="G25" s="288"/>
      <c r="H25" s="288"/>
      <c r="I25" s="288"/>
      <c r="J25" s="288"/>
      <c r="K25" s="288"/>
      <c r="L25" s="288"/>
      <c r="M25" s="288"/>
      <c r="N25" s="288"/>
      <c r="O25" s="288"/>
      <c r="P25" s="289"/>
    </row>
    <row r="26" spans="1:18" s="11" customFormat="1" ht="30" x14ac:dyDescent="0.25">
      <c r="A26" s="6">
        <v>1</v>
      </c>
      <c r="B26" s="126" t="s">
        <v>19</v>
      </c>
      <c r="C26" s="73" t="s">
        <v>210</v>
      </c>
      <c r="D26" s="6">
        <v>13</v>
      </c>
      <c r="E26" s="6" t="s">
        <v>15</v>
      </c>
      <c r="F26" s="6">
        <v>2</v>
      </c>
      <c r="G26" s="6">
        <v>4</v>
      </c>
      <c r="H26" s="6">
        <v>2</v>
      </c>
      <c r="I26" s="6">
        <f t="shared" ref="I26:I36" si="5">G26*H26</f>
        <v>8</v>
      </c>
      <c r="J26" s="16">
        <v>85000</v>
      </c>
      <c r="K26" s="16">
        <f>I26*J26</f>
        <v>680000</v>
      </c>
      <c r="L26" s="16">
        <f t="shared" ref="L26:L60" si="6">K26*12</f>
        <v>8160000</v>
      </c>
      <c r="M26" s="16">
        <v>69000</v>
      </c>
      <c r="N26" s="16">
        <f t="shared" ref="N26:N60" si="7">M26*12</f>
        <v>828000</v>
      </c>
      <c r="O26" s="16">
        <f t="shared" ref="O26:O36" si="8">L26+N26</f>
        <v>8988000</v>
      </c>
      <c r="P26" s="171"/>
    </row>
    <row r="27" spans="1:18" s="11" customFormat="1" ht="15" x14ac:dyDescent="0.25">
      <c r="A27" s="6">
        <v>2</v>
      </c>
      <c r="B27" s="126" t="s">
        <v>405</v>
      </c>
      <c r="C27" s="73"/>
      <c r="D27" s="6">
        <v>14</v>
      </c>
      <c r="E27" s="6"/>
      <c r="F27" s="6">
        <v>1</v>
      </c>
      <c r="G27" s="6">
        <v>2</v>
      </c>
      <c r="H27" s="6">
        <v>2</v>
      </c>
      <c r="I27" s="6">
        <v>4</v>
      </c>
      <c r="J27" s="16">
        <v>85000</v>
      </c>
      <c r="K27" s="16">
        <f>I27*J27</f>
        <v>340000</v>
      </c>
      <c r="L27" s="16">
        <f t="shared" ref="L27" si="9">K27*12</f>
        <v>4080000</v>
      </c>
      <c r="M27" s="16">
        <v>69000</v>
      </c>
      <c r="N27" s="16">
        <f t="shared" ref="N27" si="10">M27*12</f>
        <v>828000</v>
      </c>
      <c r="O27" s="16">
        <f t="shared" ref="O27" si="11">L27+N27</f>
        <v>4908000</v>
      </c>
      <c r="P27" s="171"/>
    </row>
    <row r="28" spans="1:18" s="65" customFormat="1" ht="30" x14ac:dyDescent="0.25">
      <c r="A28" s="6">
        <v>3</v>
      </c>
      <c r="B28" s="72" t="s">
        <v>20</v>
      </c>
      <c r="C28" s="60" t="s">
        <v>211</v>
      </c>
      <c r="D28" s="6">
        <v>15</v>
      </c>
      <c r="E28" s="60" t="s">
        <v>92</v>
      </c>
      <c r="F28" s="60">
        <v>2</v>
      </c>
      <c r="G28" s="60">
        <v>4</v>
      </c>
      <c r="H28" s="60">
        <v>2</v>
      </c>
      <c r="I28" s="60">
        <f t="shared" si="5"/>
        <v>8</v>
      </c>
      <c r="J28" s="61">
        <v>85000</v>
      </c>
      <c r="K28" s="61">
        <f>I28*J28</f>
        <v>680000</v>
      </c>
      <c r="L28" s="61">
        <f t="shared" si="6"/>
        <v>8160000</v>
      </c>
      <c r="M28" s="61">
        <v>69000</v>
      </c>
      <c r="N28" s="61">
        <f t="shared" si="7"/>
        <v>828000</v>
      </c>
      <c r="O28" s="61">
        <f t="shared" si="8"/>
        <v>8988000</v>
      </c>
      <c r="P28" s="171"/>
    </row>
    <row r="29" spans="1:18" s="11" customFormat="1" ht="38.25" customHeight="1" x14ac:dyDescent="0.25">
      <c r="A29" s="6">
        <v>4</v>
      </c>
      <c r="B29" s="126" t="s">
        <v>294</v>
      </c>
      <c r="C29" s="6"/>
      <c r="D29" s="6">
        <v>16</v>
      </c>
      <c r="E29" s="6" t="s">
        <v>21</v>
      </c>
      <c r="F29" s="6">
        <v>1</v>
      </c>
      <c r="G29" s="6">
        <v>2</v>
      </c>
      <c r="H29" s="6">
        <v>2</v>
      </c>
      <c r="I29" s="6">
        <f t="shared" si="5"/>
        <v>4</v>
      </c>
      <c r="J29" s="16">
        <v>85000</v>
      </c>
      <c r="K29" s="16">
        <f t="shared" si="1"/>
        <v>340000</v>
      </c>
      <c r="L29" s="16">
        <f t="shared" si="6"/>
        <v>4080000</v>
      </c>
      <c r="M29" s="16">
        <v>69000</v>
      </c>
      <c r="N29" s="16">
        <f t="shared" si="7"/>
        <v>828000</v>
      </c>
      <c r="O29" s="16">
        <f t="shared" si="8"/>
        <v>4908000</v>
      </c>
      <c r="P29" s="172"/>
    </row>
    <row r="30" spans="1:18" s="11" customFormat="1" ht="30" x14ac:dyDescent="0.25">
      <c r="A30" s="6">
        <v>5</v>
      </c>
      <c r="B30" s="126" t="s">
        <v>425</v>
      </c>
      <c r="C30" s="6" t="s">
        <v>196</v>
      </c>
      <c r="D30" s="6">
        <v>17</v>
      </c>
      <c r="E30" s="6" t="s">
        <v>14</v>
      </c>
      <c r="F30" s="6">
        <v>2</v>
      </c>
      <c r="G30" s="6">
        <v>4</v>
      </c>
      <c r="H30" s="6">
        <v>2</v>
      </c>
      <c r="I30" s="6">
        <f t="shared" si="5"/>
        <v>8</v>
      </c>
      <c r="J30" s="16">
        <v>85000</v>
      </c>
      <c r="K30" s="16">
        <f t="shared" si="1"/>
        <v>680000</v>
      </c>
      <c r="L30" s="16">
        <f t="shared" si="6"/>
        <v>8160000</v>
      </c>
      <c r="M30" s="16">
        <v>69000</v>
      </c>
      <c r="N30" s="16">
        <f t="shared" si="7"/>
        <v>828000</v>
      </c>
      <c r="O30" s="16">
        <f t="shared" si="8"/>
        <v>8988000</v>
      </c>
      <c r="P30" s="14"/>
      <c r="Q30" s="18"/>
    </row>
    <row r="31" spans="1:18" s="52" customFormat="1" ht="15" x14ac:dyDescent="0.25">
      <c r="A31" s="6">
        <v>6</v>
      </c>
      <c r="B31" s="64" t="s">
        <v>393</v>
      </c>
      <c r="C31" s="60" t="s">
        <v>394</v>
      </c>
      <c r="D31" s="6">
        <v>18</v>
      </c>
      <c r="E31" s="6" t="s">
        <v>14</v>
      </c>
      <c r="F31" s="6">
        <v>2</v>
      </c>
      <c r="G31" s="6">
        <v>4</v>
      </c>
      <c r="H31" s="6">
        <v>2</v>
      </c>
      <c r="I31" s="6">
        <f t="shared" si="5"/>
        <v>8</v>
      </c>
      <c r="J31" s="16">
        <v>85000</v>
      </c>
      <c r="K31" s="16">
        <f t="shared" si="1"/>
        <v>680000</v>
      </c>
      <c r="L31" s="16">
        <f t="shared" si="6"/>
        <v>8160000</v>
      </c>
      <c r="M31" s="16">
        <v>69000</v>
      </c>
      <c r="N31" s="16">
        <f t="shared" si="7"/>
        <v>828000</v>
      </c>
      <c r="O31" s="91">
        <f t="shared" si="8"/>
        <v>8988000</v>
      </c>
      <c r="P31" s="69"/>
    </row>
    <row r="32" spans="1:18" s="65" customFormat="1" ht="30" x14ac:dyDescent="0.25">
      <c r="A32" s="6">
        <v>7</v>
      </c>
      <c r="B32" s="163" t="s">
        <v>22</v>
      </c>
      <c r="C32" s="191" t="s">
        <v>352</v>
      </c>
      <c r="D32" s="6">
        <v>19</v>
      </c>
      <c r="E32" s="60" t="s">
        <v>14</v>
      </c>
      <c r="F32" s="60">
        <v>2</v>
      </c>
      <c r="G32" s="60">
        <v>4</v>
      </c>
      <c r="H32" s="60">
        <v>2</v>
      </c>
      <c r="I32" s="60">
        <f t="shared" si="5"/>
        <v>8</v>
      </c>
      <c r="J32" s="61">
        <v>85000</v>
      </c>
      <c r="K32" s="61">
        <f t="shared" si="1"/>
        <v>680000</v>
      </c>
      <c r="L32" s="61">
        <f t="shared" si="6"/>
        <v>8160000</v>
      </c>
      <c r="M32" s="61">
        <v>69000</v>
      </c>
      <c r="N32" s="61">
        <f t="shared" si="7"/>
        <v>828000</v>
      </c>
      <c r="O32" s="61">
        <f t="shared" si="8"/>
        <v>8988000</v>
      </c>
      <c r="P32" s="61"/>
    </row>
    <row r="33" spans="1:17" s="11" customFormat="1" ht="15" x14ac:dyDescent="0.25">
      <c r="A33" s="6">
        <v>8</v>
      </c>
      <c r="B33" s="126" t="s">
        <v>354</v>
      </c>
      <c r="C33" s="73" t="s">
        <v>273</v>
      </c>
      <c r="D33" s="6">
        <v>20</v>
      </c>
      <c r="E33" s="6" t="s">
        <v>14</v>
      </c>
      <c r="F33" s="6">
        <v>1</v>
      </c>
      <c r="G33" s="6">
        <v>2</v>
      </c>
      <c r="H33" s="6">
        <v>2</v>
      </c>
      <c r="I33" s="6">
        <f t="shared" si="5"/>
        <v>4</v>
      </c>
      <c r="J33" s="16">
        <v>85000</v>
      </c>
      <c r="K33" s="16">
        <f t="shared" si="1"/>
        <v>340000</v>
      </c>
      <c r="L33" s="16">
        <f t="shared" si="6"/>
        <v>4080000</v>
      </c>
      <c r="M33" s="16">
        <v>69000</v>
      </c>
      <c r="N33" s="16">
        <f>M33*12</f>
        <v>828000</v>
      </c>
      <c r="O33" s="16">
        <f t="shared" si="8"/>
        <v>4908000</v>
      </c>
      <c r="P33" s="61"/>
      <c r="Q33" s="18"/>
    </row>
    <row r="34" spans="1:17" s="11" customFormat="1" ht="15" x14ac:dyDescent="0.25">
      <c r="A34" s="6">
        <v>9</v>
      </c>
      <c r="B34" s="126" t="s">
        <v>66</v>
      </c>
      <c r="C34" s="6" t="s">
        <v>232</v>
      </c>
      <c r="D34" s="6">
        <v>21</v>
      </c>
      <c r="E34" s="6"/>
      <c r="F34" s="6">
        <v>1</v>
      </c>
      <c r="G34" s="6">
        <v>2</v>
      </c>
      <c r="H34" s="6">
        <v>2</v>
      </c>
      <c r="I34" s="6">
        <f t="shared" ref="I34" si="12">G34*H34</f>
        <v>4</v>
      </c>
      <c r="J34" s="16">
        <v>85000</v>
      </c>
      <c r="K34" s="16">
        <f t="shared" si="1"/>
        <v>340000</v>
      </c>
      <c r="L34" s="16">
        <f t="shared" si="6"/>
        <v>4080000</v>
      </c>
      <c r="M34" s="16"/>
      <c r="N34" s="16"/>
      <c r="O34" s="16">
        <f t="shared" si="8"/>
        <v>4080000</v>
      </c>
      <c r="P34" s="61"/>
      <c r="Q34" s="18"/>
    </row>
    <row r="35" spans="1:17" s="11" customFormat="1" ht="30" x14ac:dyDescent="0.25">
      <c r="A35" s="6">
        <v>10</v>
      </c>
      <c r="B35" s="72" t="s">
        <v>23</v>
      </c>
      <c r="C35" s="6" t="s">
        <v>193</v>
      </c>
      <c r="D35" s="6">
        <v>22</v>
      </c>
      <c r="E35" s="6" t="s">
        <v>14</v>
      </c>
      <c r="F35" s="6">
        <v>2</v>
      </c>
      <c r="G35" s="6">
        <v>4</v>
      </c>
      <c r="H35" s="6">
        <v>2</v>
      </c>
      <c r="I35" s="6">
        <f t="shared" si="5"/>
        <v>8</v>
      </c>
      <c r="J35" s="16">
        <v>85000</v>
      </c>
      <c r="K35" s="16">
        <f t="shared" si="1"/>
        <v>680000</v>
      </c>
      <c r="L35" s="16">
        <f t="shared" si="6"/>
        <v>8160000</v>
      </c>
      <c r="M35" s="16">
        <v>69000</v>
      </c>
      <c r="N35" s="16">
        <f t="shared" si="7"/>
        <v>828000</v>
      </c>
      <c r="O35" s="16">
        <f t="shared" si="8"/>
        <v>8988000</v>
      </c>
      <c r="P35" s="14"/>
    </row>
    <row r="36" spans="1:17" s="11" customFormat="1" ht="15" x14ac:dyDescent="0.25">
      <c r="A36" s="6">
        <v>11</v>
      </c>
      <c r="B36" s="72" t="s">
        <v>208</v>
      </c>
      <c r="C36" s="6" t="s">
        <v>376</v>
      </c>
      <c r="D36" s="6">
        <v>23</v>
      </c>
      <c r="E36" s="6" t="s">
        <v>14</v>
      </c>
      <c r="F36" s="6">
        <v>1</v>
      </c>
      <c r="G36" s="6">
        <v>2</v>
      </c>
      <c r="H36" s="6">
        <v>2</v>
      </c>
      <c r="I36" s="6">
        <f t="shared" si="5"/>
        <v>4</v>
      </c>
      <c r="J36" s="16">
        <v>85000</v>
      </c>
      <c r="K36" s="16">
        <f t="shared" si="1"/>
        <v>340000</v>
      </c>
      <c r="L36" s="16">
        <f t="shared" si="6"/>
        <v>4080000</v>
      </c>
      <c r="M36" s="16">
        <v>69000</v>
      </c>
      <c r="N36" s="16">
        <f t="shared" si="7"/>
        <v>828000</v>
      </c>
      <c r="O36" s="16">
        <f t="shared" si="8"/>
        <v>4908000</v>
      </c>
      <c r="P36" s="82"/>
    </row>
    <row r="37" spans="1:17" s="11" customFormat="1" ht="30" x14ac:dyDescent="0.25">
      <c r="A37" s="6">
        <v>12</v>
      </c>
      <c r="B37" s="104" t="s">
        <v>301</v>
      </c>
      <c r="C37" s="89" t="s">
        <v>302</v>
      </c>
      <c r="D37" s="6">
        <v>24</v>
      </c>
      <c r="E37" s="6" t="s">
        <v>78</v>
      </c>
      <c r="F37" s="6">
        <v>1</v>
      </c>
      <c r="G37" s="60">
        <v>2</v>
      </c>
      <c r="H37" s="60">
        <v>2</v>
      </c>
      <c r="I37" s="60">
        <f>G37*H37</f>
        <v>4</v>
      </c>
      <c r="J37" s="61">
        <v>85000</v>
      </c>
      <c r="K37" s="61">
        <f>I37*J37</f>
        <v>340000</v>
      </c>
      <c r="L37" s="16">
        <f>K37*12</f>
        <v>4080000</v>
      </c>
      <c r="M37" s="61">
        <v>69000</v>
      </c>
      <c r="N37" s="61">
        <f>M37*12</f>
        <v>828000</v>
      </c>
      <c r="O37" s="61">
        <f>N37+L37</f>
        <v>4908000</v>
      </c>
      <c r="P37" s="78"/>
    </row>
    <row r="38" spans="1:17" s="11" customFormat="1" ht="15" x14ac:dyDescent="0.25">
      <c r="A38" s="95"/>
      <c r="B38" s="100" t="s">
        <v>304</v>
      </c>
      <c r="C38" s="97"/>
      <c r="D38" s="97"/>
      <c r="E38" s="98"/>
      <c r="F38" s="34">
        <f>SUM(F26:F37)</f>
        <v>18</v>
      </c>
      <c r="G38" s="6"/>
      <c r="H38" s="6"/>
      <c r="I38" s="6"/>
      <c r="J38" s="16"/>
      <c r="K38" s="16">
        <f>SUM(K26:K37)</f>
        <v>6120000</v>
      </c>
      <c r="L38" s="158">
        <f>SUM(L26:L37)</f>
        <v>73440000</v>
      </c>
      <c r="M38" s="16"/>
      <c r="N38" s="158">
        <f>SUM(N26:N37)</f>
        <v>9108000</v>
      </c>
      <c r="O38" s="158">
        <f>SUM(O26:O37)</f>
        <v>82548000</v>
      </c>
      <c r="P38" s="158"/>
    </row>
    <row r="39" spans="1:17" s="11" customFormat="1" ht="15" x14ac:dyDescent="0.25">
      <c r="A39" s="287" t="s">
        <v>307</v>
      </c>
      <c r="B39" s="288"/>
      <c r="C39" s="288"/>
      <c r="D39" s="288"/>
      <c r="E39" s="288"/>
      <c r="F39" s="288"/>
      <c r="G39" s="288"/>
      <c r="H39" s="288"/>
      <c r="I39" s="288"/>
      <c r="J39" s="288"/>
      <c r="K39" s="288"/>
      <c r="L39" s="288"/>
      <c r="M39" s="288"/>
      <c r="N39" s="288"/>
      <c r="O39" s="288"/>
      <c r="P39" s="289"/>
    </row>
    <row r="40" spans="1:17" s="8" customFormat="1" ht="15" x14ac:dyDescent="0.25">
      <c r="A40" s="6">
        <v>1</v>
      </c>
      <c r="B40" s="85" t="s">
        <v>406</v>
      </c>
      <c r="C40" s="7" t="s">
        <v>175</v>
      </c>
      <c r="D40" s="6">
        <v>25</v>
      </c>
      <c r="E40" s="6" t="s">
        <v>100</v>
      </c>
      <c r="F40" s="6">
        <v>3</v>
      </c>
      <c r="G40" s="6">
        <f>2.16*3</f>
        <v>6.48</v>
      </c>
      <c r="H40" s="6">
        <v>2</v>
      </c>
      <c r="I40" s="6">
        <f>G40*H40</f>
        <v>12.96</v>
      </c>
      <c r="J40" s="16">
        <v>85000</v>
      </c>
      <c r="K40" s="16">
        <f t="shared" si="1"/>
        <v>1101600</v>
      </c>
      <c r="L40" s="16">
        <f>K40*12</f>
        <v>13219200</v>
      </c>
      <c r="M40" s="16">
        <v>69000</v>
      </c>
      <c r="N40" s="16">
        <f t="shared" si="7"/>
        <v>828000</v>
      </c>
      <c r="O40" s="16">
        <f>L40+N40</f>
        <v>14047200</v>
      </c>
      <c r="P40" s="56"/>
    </row>
    <row r="41" spans="1:17" s="38" customFormat="1" ht="15" x14ac:dyDescent="0.25">
      <c r="A41" s="6">
        <v>2</v>
      </c>
      <c r="B41" s="85" t="s">
        <v>24</v>
      </c>
      <c r="C41" s="7" t="s">
        <v>230</v>
      </c>
      <c r="D41" s="6">
        <v>26</v>
      </c>
      <c r="E41" s="6" t="s">
        <v>100</v>
      </c>
      <c r="F41" s="6">
        <v>1</v>
      </c>
      <c r="G41" s="6">
        <v>2.16</v>
      </c>
      <c r="H41" s="6">
        <v>2</v>
      </c>
      <c r="I41" s="6">
        <f>G41*H41</f>
        <v>4.32</v>
      </c>
      <c r="J41" s="16">
        <v>85000</v>
      </c>
      <c r="K41" s="16">
        <f t="shared" si="1"/>
        <v>367200</v>
      </c>
      <c r="L41" s="16">
        <f t="shared" si="6"/>
        <v>4406400</v>
      </c>
      <c r="M41" s="16"/>
      <c r="N41" s="16">
        <f t="shared" si="7"/>
        <v>0</v>
      </c>
      <c r="O41" s="16">
        <f>L41+N41</f>
        <v>4406400</v>
      </c>
      <c r="P41" s="27"/>
    </row>
    <row r="42" spans="1:17" s="53" customFormat="1" ht="15" x14ac:dyDescent="0.25">
      <c r="A42" s="6">
        <v>3</v>
      </c>
      <c r="B42" s="85" t="s">
        <v>247</v>
      </c>
      <c r="C42" s="7" t="s">
        <v>288</v>
      </c>
      <c r="D42" s="6">
        <v>27</v>
      </c>
      <c r="E42" s="6" t="s">
        <v>248</v>
      </c>
      <c r="F42" s="6">
        <v>2</v>
      </c>
      <c r="G42" s="6">
        <v>4.32</v>
      </c>
      <c r="H42" s="6">
        <v>2</v>
      </c>
      <c r="I42" s="6">
        <f>G42*H42</f>
        <v>8.64</v>
      </c>
      <c r="J42" s="16">
        <v>85000</v>
      </c>
      <c r="K42" s="16">
        <f>I42*J42</f>
        <v>734400</v>
      </c>
      <c r="L42" s="16">
        <f>K42*12</f>
        <v>8812800</v>
      </c>
      <c r="M42" s="16">
        <v>69000</v>
      </c>
      <c r="N42" s="16">
        <f>M42*12</f>
        <v>828000</v>
      </c>
      <c r="O42" s="16">
        <f>L42+N42</f>
        <v>9640800</v>
      </c>
      <c r="P42" s="27"/>
    </row>
    <row r="43" spans="1:17" s="53" customFormat="1" ht="15" x14ac:dyDescent="0.25">
      <c r="A43" s="6"/>
      <c r="B43" s="101" t="s">
        <v>304</v>
      </c>
      <c r="C43" s="7"/>
      <c r="D43" s="6"/>
      <c r="E43" s="6"/>
      <c r="F43" s="34">
        <f>SUM(F40:F42)</f>
        <v>6</v>
      </c>
      <c r="G43" s="6"/>
      <c r="H43" s="6"/>
      <c r="I43" s="6"/>
      <c r="J43" s="16"/>
      <c r="K43" s="16">
        <f>SUM(K40:K42)</f>
        <v>2203200</v>
      </c>
      <c r="L43" s="17">
        <f>SUM(L40:L42)</f>
        <v>26438400</v>
      </c>
      <c r="M43" s="16"/>
      <c r="N43" s="17">
        <f>SUM(N40:N42)</f>
        <v>1656000</v>
      </c>
      <c r="O43" s="17">
        <f>SUM(O40:O42)</f>
        <v>28094400</v>
      </c>
      <c r="P43" s="27"/>
    </row>
    <row r="44" spans="1:17" s="11" customFormat="1" ht="15" x14ac:dyDescent="0.25">
      <c r="A44" s="264" t="s">
        <v>308</v>
      </c>
      <c r="B44" s="265"/>
      <c r="C44" s="265"/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6"/>
    </row>
    <row r="45" spans="1:17" s="12" customFormat="1" ht="30" x14ac:dyDescent="0.25">
      <c r="A45" s="6">
        <v>1</v>
      </c>
      <c r="B45" s="72" t="s">
        <v>26</v>
      </c>
      <c r="C45" s="6" t="s">
        <v>331</v>
      </c>
      <c r="D45" s="6">
        <v>28</v>
      </c>
      <c r="E45" s="6" t="s">
        <v>37</v>
      </c>
      <c r="F45" s="6">
        <v>1</v>
      </c>
      <c r="G45" s="6">
        <v>1.5</v>
      </c>
      <c r="H45" s="6">
        <v>2</v>
      </c>
      <c r="I45" s="6">
        <f>G45*H45</f>
        <v>3</v>
      </c>
      <c r="J45" s="16">
        <v>68000</v>
      </c>
      <c r="K45" s="16">
        <f t="shared" si="1"/>
        <v>204000</v>
      </c>
      <c r="L45" s="16">
        <f t="shared" si="6"/>
        <v>2448000</v>
      </c>
      <c r="M45" s="16">
        <v>69000</v>
      </c>
      <c r="N45" s="16">
        <f t="shared" si="7"/>
        <v>828000</v>
      </c>
      <c r="O45" s="16">
        <f>L45+N45</f>
        <v>3276000</v>
      </c>
      <c r="P45" s="14"/>
    </row>
    <row r="46" spans="1:17" s="12" customFormat="1" ht="15" x14ac:dyDescent="0.25">
      <c r="A46" s="6">
        <v>2</v>
      </c>
      <c r="B46" s="72" t="s">
        <v>27</v>
      </c>
      <c r="C46" s="6" t="s">
        <v>216</v>
      </c>
      <c r="D46" s="6">
        <v>29</v>
      </c>
      <c r="E46" s="6" t="s">
        <v>37</v>
      </c>
      <c r="F46" s="6">
        <v>1</v>
      </c>
      <c r="G46" s="6">
        <v>1.5</v>
      </c>
      <c r="H46" s="6">
        <v>2</v>
      </c>
      <c r="I46" s="6">
        <f>G46*H46</f>
        <v>3</v>
      </c>
      <c r="J46" s="16">
        <v>68000</v>
      </c>
      <c r="K46" s="16">
        <f t="shared" si="1"/>
        <v>204000</v>
      </c>
      <c r="L46" s="16">
        <f t="shared" si="6"/>
        <v>2448000</v>
      </c>
      <c r="M46" s="16">
        <v>69000</v>
      </c>
      <c r="N46" s="16">
        <f t="shared" si="7"/>
        <v>828000</v>
      </c>
      <c r="O46" s="16">
        <f t="shared" ref="O46:O60" si="13">L46+N46</f>
        <v>3276000</v>
      </c>
      <c r="P46" s="14"/>
    </row>
    <row r="47" spans="1:17" s="12" customFormat="1" ht="15" x14ac:dyDescent="0.25">
      <c r="A47" s="6">
        <v>3</v>
      </c>
      <c r="B47" s="72" t="s">
        <v>28</v>
      </c>
      <c r="C47" s="6" t="s">
        <v>176</v>
      </c>
      <c r="D47" s="6">
        <v>30</v>
      </c>
      <c r="E47" s="6" t="s">
        <v>37</v>
      </c>
      <c r="F47" s="6">
        <v>2</v>
      </c>
      <c r="G47" s="6">
        <v>3</v>
      </c>
      <c r="H47" s="6">
        <v>2</v>
      </c>
      <c r="I47" s="6">
        <f>G47*H47</f>
        <v>6</v>
      </c>
      <c r="J47" s="16">
        <v>68000</v>
      </c>
      <c r="K47" s="16">
        <f t="shared" si="1"/>
        <v>408000</v>
      </c>
      <c r="L47" s="16">
        <f t="shared" si="6"/>
        <v>4896000</v>
      </c>
      <c r="M47" s="16">
        <v>69000</v>
      </c>
      <c r="N47" s="16">
        <f t="shared" si="7"/>
        <v>828000</v>
      </c>
      <c r="O47" s="16">
        <f t="shared" si="13"/>
        <v>5724000</v>
      </c>
      <c r="P47" s="14"/>
    </row>
    <row r="48" spans="1:17" s="12" customFormat="1" ht="15" x14ac:dyDescent="0.25">
      <c r="A48" s="6">
        <v>4</v>
      </c>
      <c r="B48" s="72" t="s">
        <v>29</v>
      </c>
      <c r="C48" s="6" t="s">
        <v>172</v>
      </c>
      <c r="D48" s="6">
        <v>31</v>
      </c>
      <c r="E48" s="6" t="s">
        <v>37</v>
      </c>
      <c r="F48" s="6">
        <v>2</v>
      </c>
      <c r="G48" s="6">
        <v>3</v>
      </c>
      <c r="H48" s="6">
        <v>2</v>
      </c>
      <c r="I48" s="6">
        <f>G48*H48</f>
        <v>6</v>
      </c>
      <c r="J48" s="16">
        <v>68000</v>
      </c>
      <c r="K48" s="16">
        <f t="shared" si="1"/>
        <v>408000</v>
      </c>
      <c r="L48" s="16">
        <f t="shared" si="6"/>
        <v>4896000</v>
      </c>
      <c r="M48" s="16">
        <v>69000</v>
      </c>
      <c r="N48" s="16">
        <f t="shared" si="7"/>
        <v>828000</v>
      </c>
      <c r="O48" s="16">
        <f t="shared" si="13"/>
        <v>5724000</v>
      </c>
      <c r="P48" s="14"/>
    </row>
    <row r="49" spans="1:16" s="12" customFormat="1" ht="30" x14ac:dyDescent="0.25">
      <c r="A49" s="6">
        <v>5</v>
      </c>
      <c r="B49" s="72" t="s">
        <v>30</v>
      </c>
      <c r="C49" s="6" t="s">
        <v>200</v>
      </c>
      <c r="D49" s="6">
        <v>32</v>
      </c>
      <c r="E49" s="6" t="s">
        <v>37</v>
      </c>
      <c r="F49" s="6">
        <v>1</v>
      </c>
      <c r="G49" s="6">
        <v>1.5</v>
      </c>
      <c r="H49" s="6">
        <v>2</v>
      </c>
      <c r="I49" s="6">
        <f t="shared" ref="I49:I60" si="14">G49*H49</f>
        <v>3</v>
      </c>
      <c r="J49" s="16">
        <v>68000</v>
      </c>
      <c r="K49" s="16">
        <f t="shared" si="1"/>
        <v>204000</v>
      </c>
      <c r="L49" s="16">
        <f t="shared" si="6"/>
        <v>2448000</v>
      </c>
      <c r="M49" s="16">
        <v>69000</v>
      </c>
      <c r="N49" s="16">
        <f t="shared" si="7"/>
        <v>828000</v>
      </c>
      <c r="O49" s="16">
        <f t="shared" si="13"/>
        <v>3276000</v>
      </c>
      <c r="P49" s="14"/>
    </row>
    <row r="50" spans="1:16" s="12" customFormat="1" ht="15" x14ac:dyDescent="0.25">
      <c r="A50" s="6">
        <v>6</v>
      </c>
      <c r="B50" s="72" t="s">
        <v>31</v>
      </c>
      <c r="C50" s="6" t="s">
        <v>189</v>
      </c>
      <c r="D50" s="6">
        <v>33</v>
      </c>
      <c r="E50" s="6" t="s">
        <v>37</v>
      </c>
      <c r="F50" s="6">
        <v>2</v>
      </c>
      <c r="G50" s="6">
        <v>3</v>
      </c>
      <c r="H50" s="6">
        <v>2</v>
      </c>
      <c r="I50" s="6">
        <f t="shared" si="14"/>
        <v>6</v>
      </c>
      <c r="J50" s="16">
        <v>68000</v>
      </c>
      <c r="K50" s="16">
        <f t="shared" si="1"/>
        <v>408000</v>
      </c>
      <c r="L50" s="16">
        <f t="shared" si="6"/>
        <v>4896000</v>
      </c>
      <c r="M50" s="16">
        <v>69000</v>
      </c>
      <c r="N50" s="16">
        <f t="shared" si="7"/>
        <v>828000</v>
      </c>
      <c r="O50" s="16">
        <f t="shared" si="13"/>
        <v>5724000</v>
      </c>
      <c r="P50" s="14"/>
    </row>
    <row r="51" spans="1:16" s="12" customFormat="1" ht="30" x14ac:dyDescent="0.25">
      <c r="A51" s="6">
        <v>7</v>
      </c>
      <c r="B51" s="72" t="s">
        <v>201</v>
      </c>
      <c r="C51" s="6" t="s">
        <v>202</v>
      </c>
      <c r="D51" s="6">
        <v>34</v>
      </c>
      <c r="E51" s="6" t="s">
        <v>37</v>
      </c>
      <c r="F51" s="6">
        <v>1</v>
      </c>
      <c r="G51" s="6">
        <v>1.5</v>
      </c>
      <c r="H51" s="6">
        <v>2</v>
      </c>
      <c r="I51" s="6">
        <f t="shared" si="14"/>
        <v>3</v>
      </c>
      <c r="J51" s="16">
        <v>68000</v>
      </c>
      <c r="K51" s="16">
        <f t="shared" si="1"/>
        <v>204000</v>
      </c>
      <c r="L51" s="16">
        <f t="shared" si="6"/>
        <v>2448000</v>
      </c>
      <c r="M51" s="16">
        <v>69000</v>
      </c>
      <c r="N51" s="16">
        <f t="shared" si="7"/>
        <v>828000</v>
      </c>
      <c r="O51" s="16">
        <f t="shared" si="13"/>
        <v>3276000</v>
      </c>
      <c r="P51" s="14"/>
    </row>
    <row r="52" spans="1:16" s="12" customFormat="1" ht="15" x14ac:dyDescent="0.25">
      <c r="A52" s="6">
        <v>8</v>
      </c>
      <c r="B52" s="72" t="s">
        <v>293</v>
      </c>
      <c r="C52" s="6"/>
      <c r="D52" s="6">
        <v>35</v>
      </c>
      <c r="E52" s="6" t="s">
        <v>37</v>
      </c>
      <c r="F52" s="6">
        <v>1</v>
      </c>
      <c r="G52" s="6">
        <v>1.5</v>
      </c>
      <c r="H52" s="6">
        <v>2</v>
      </c>
      <c r="I52" s="6">
        <f t="shared" si="14"/>
        <v>3</v>
      </c>
      <c r="J52" s="16">
        <v>68000</v>
      </c>
      <c r="K52" s="16">
        <f t="shared" si="1"/>
        <v>204000</v>
      </c>
      <c r="L52" s="16">
        <f t="shared" si="6"/>
        <v>2448000</v>
      </c>
      <c r="M52" s="16">
        <v>69000</v>
      </c>
      <c r="N52" s="16">
        <f t="shared" si="7"/>
        <v>828000</v>
      </c>
      <c r="O52" s="16">
        <f t="shared" si="13"/>
        <v>3276000</v>
      </c>
      <c r="P52" s="14"/>
    </row>
    <row r="53" spans="1:16" s="12" customFormat="1" ht="15" x14ac:dyDescent="0.25">
      <c r="A53" s="6">
        <v>9</v>
      </c>
      <c r="B53" s="72" t="s">
        <v>33</v>
      </c>
      <c r="C53" s="6" t="s">
        <v>203</v>
      </c>
      <c r="D53" s="6">
        <v>36</v>
      </c>
      <c r="E53" s="6" t="s">
        <v>37</v>
      </c>
      <c r="F53" s="6">
        <v>1</v>
      </c>
      <c r="G53" s="6">
        <v>1.5</v>
      </c>
      <c r="H53" s="6">
        <v>2</v>
      </c>
      <c r="I53" s="6">
        <f t="shared" si="14"/>
        <v>3</v>
      </c>
      <c r="J53" s="16">
        <v>68000</v>
      </c>
      <c r="K53" s="16">
        <f t="shared" si="1"/>
        <v>204000</v>
      </c>
      <c r="L53" s="16">
        <f t="shared" si="6"/>
        <v>2448000</v>
      </c>
      <c r="M53" s="16"/>
      <c r="N53" s="16"/>
      <c r="O53" s="16">
        <f t="shared" si="13"/>
        <v>2448000</v>
      </c>
      <c r="P53" s="14"/>
    </row>
    <row r="54" spans="1:16" s="12" customFormat="1" ht="15" x14ac:dyDescent="0.25">
      <c r="A54" s="6">
        <v>10</v>
      </c>
      <c r="B54" s="126" t="s">
        <v>34</v>
      </c>
      <c r="C54" s="73" t="s">
        <v>148</v>
      </c>
      <c r="D54" s="6">
        <v>37</v>
      </c>
      <c r="E54" s="6" t="s">
        <v>37</v>
      </c>
      <c r="F54" s="6">
        <v>3</v>
      </c>
      <c r="G54" s="6">
        <v>4.5</v>
      </c>
      <c r="H54" s="6">
        <v>2</v>
      </c>
      <c r="I54" s="6">
        <f t="shared" si="14"/>
        <v>9</v>
      </c>
      <c r="J54" s="16">
        <v>68000</v>
      </c>
      <c r="K54" s="16">
        <f t="shared" si="1"/>
        <v>612000</v>
      </c>
      <c r="L54" s="16">
        <f>K54*12</f>
        <v>7344000</v>
      </c>
      <c r="M54" s="16">
        <v>69000</v>
      </c>
      <c r="N54" s="16">
        <f t="shared" si="7"/>
        <v>828000</v>
      </c>
      <c r="O54" s="16">
        <f>L54+N54</f>
        <v>8172000</v>
      </c>
    </row>
    <row r="55" spans="1:16" s="12" customFormat="1" ht="15" x14ac:dyDescent="0.25">
      <c r="A55" s="6">
        <v>11</v>
      </c>
      <c r="B55" s="126" t="s">
        <v>35</v>
      </c>
      <c r="C55" s="73" t="s">
        <v>215</v>
      </c>
      <c r="D55" s="6">
        <v>38</v>
      </c>
      <c r="E55" s="6" t="s">
        <v>37</v>
      </c>
      <c r="F55" s="6">
        <v>2</v>
      </c>
      <c r="G55" s="6">
        <v>3</v>
      </c>
      <c r="H55" s="6">
        <v>2</v>
      </c>
      <c r="I55" s="6">
        <f t="shared" si="14"/>
        <v>6</v>
      </c>
      <c r="J55" s="16">
        <v>68000</v>
      </c>
      <c r="K55" s="16">
        <f t="shared" si="1"/>
        <v>408000</v>
      </c>
      <c r="L55" s="16">
        <f t="shared" si="6"/>
        <v>4896000</v>
      </c>
      <c r="M55" s="16">
        <v>69000</v>
      </c>
      <c r="N55" s="16">
        <f t="shared" si="7"/>
        <v>828000</v>
      </c>
      <c r="O55" s="16">
        <f t="shared" si="13"/>
        <v>5724000</v>
      </c>
      <c r="P55" s="14"/>
    </row>
    <row r="56" spans="1:16" s="12" customFormat="1" ht="30" x14ac:dyDescent="0.25">
      <c r="A56" s="6">
        <v>12</v>
      </c>
      <c r="B56" s="72" t="s">
        <v>322</v>
      </c>
      <c r="C56" s="6" t="s">
        <v>207</v>
      </c>
      <c r="D56" s="6">
        <v>39</v>
      </c>
      <c r="E56" s="6" t="s">
        <v>37</v>
      </c>
      <c r="F56" s="6">
        <v>2</v>
      </c>
      <c r="G56" s="6">
        <f>1.5*2</f>
        <v>3</v>
      </c>
      <c r="H56" s="6">
        <v>2</v>
      </c>
      <c r="I56" s="6">
        <f t="shared" si="14"/>
        <v>6</v>
      </c>
      <c r="J56" s="16">
        <v>68000</v>
      </c>
      <c r="K56" s="16">
        <f t="shared" si="1"/>
        <v>408000</v>
      </c>
      <c r="L56" s="16">
        <f t="shared" si="6"/>
        <v>4896000</v>
      </c>
      <c r="M56" s="16">
        <v>69000</v>
      </c>
      <c r="N56" s="16">
        <f t="shared" si="7"/>
        <v>828000</v>
      </c>
      <c r="O56" s="16">
        <f>L56+N56</f>
        <v>5724000</v>
      </c>
      <c r="P56" s="14"/>
    </row>
    <row r="57" spans="1:16" s="22" customFormat="1" ht="15" x14ac:dyDescent="0.25">
      <c r="A57" s="6">
        <v>13</v>
      </c>
      <c r="B57" s="72" t="s">
        <v>166</v>
      </c>
      <c r="C57" s="6" t="s">
        <v>167</v>
      </c>
      <c r="D57" s="6">
        <v>40</v>
      </c>
      <c r="E57" s="6" t="s">
        <v>37</v>
      </c>
      <c r="F57" s="6">
        <v>2</v>
      </c>
      <c r="G57" s="6">
        <v>3</v>
      </c>
      <c r="H57" s="6">
        <v>2</v>
      </c>
      <c r="I57" s="6">
        <f t="shared" si="14"/>
        <v>6</v>
      </c>
      <c r="J57" s="16">
        <v>68000</v>
      </c>
      <c r="K57" s="16">
        <f>I57*J57</f>
        <v>408000</v>
      </c>
      <c r="L57" s="16">
        <f t="shared" si="6"/>
        <v>4896000</v>
      </c>
      <c r="M57" s="16">
        <v>69000</v>
      </c>
      <c r="N57" s="16">
        <f t="shared" si="7"/>
        <v>828000</v>
      </c>
      <c r="O57" s="16">
        <f t="shared" si="13"/>
        <v>5724000</v>
      </c>
      <c r="P57" s="14"/>
    </row>
    <row r="58" spans="1:16" s="12" customFormat="1" ht="15" x14ac:dyDescent="0.25">
      <c r="A58" s="6">
        <v>14</v>
      </c>
      <c r="B58" s="72" t="s">
        <v>291</v>
      </c>
      <c r="C58" s="6" t="s">
        <v>292</v>
      </c>
      <c r="D58" s="6">
        <v>41</v>
      </c>
      <c r="E58" s="6" t="s">
        <v>37</v>
      </c>
      <c r="F58" s="6">
        <v>1</v>
      </c>
      <c r="G58" s="6">
        <v>1.5</v>
      </c>
      <c r="H58" s="6">
        <v>2</v>
      </c>
      <c r="I58" s="6">
        <f t="shared" si="14"/>
        <v>3</v>
      </c>
      <c r="J58" s="16">
        <v>68000</v>
      </c>
      <c r="K58" s="16">
        <f t="shared" si="1"/>
        <v>204000</v>
      </c>
      <c r="L58" s="16">
        <f t="shared" si="6"/>
        <v>2448000</v>
      </c>
      <c r="M58" s="16">
        <v>69000</v>
      </c>
      <c r="N58" s="16">
        <v>828000</v>
      </c>
      <c r="O58" s="16">
        <f t="shared" si="13"/>
        <v>3276000</v>
      </c>
      <c r="P58" s="14"/>
    </row>
    <row r="59" spans="1:16" s="12" customFormat="1" ht="15" x14ac:dyDescent="0.25">
      <c r="A59" s="6">
        <v>15</v>
      </c>
      <c r="B59" s="72" t="s">
        <v>36</v>
      </c>
      <c r="C59" s="6" t="s">
        <v>150</v>
      </c>
      <c r="D59" s="6">
        <v>42</v>
      </c>
      <c r="E59" s="6" t="s">
        <v>37</v>
      </c>
      <c r="F59" s="6">
        <v>1</v>
      </c>
      <c r="G59" s="6">
        <v>1.5</v>
      </c>
      <c r="H59" s="6">
        <v>2</v>
      </c>
      <c r="I59" s="6">
        <f t="shared" si="14"/>
        <v>3</v>
      </c>
      <c r="J59" s="16">
        <v>68000</v>
      </c>
      <c r="K59" s="16">
        <f t="shared" si="1"/>
        <v>204000</v>
      </c>
      <c r="L59" s="16">
        <f t="shared" si="6"/>
        <v>2448000</v>
      </c>
      <c r="M59" s="91">
        <v>69000</v>
      </c>
      <c r="N59" s="91">
        <f t="shared" si="7"/>
        <v>828000</v>
      </c>
      <c r="O59" s="16">
        <f t="shared" si="13"/>
        <v>3276000</v>
      </c>
      <c r="P59" s="14"/>
    </row>
    <row r="60" spans="1:16" s="12" customFormat="1" ht="15" x14ac:dyDescent="0.25">
      <c r="A60" s="6">
        <v>16</v>
      </c>
      <c r="B60" s="128" t="s">
        <v>190</v>
      </c>
      <c r="C60" s="37" t="s">
        <v>191</v>
      </c>
      <c r="D60" s="6">
        <v>43</v>
      </c>
      <c r="E60" s="37" t="s">
        <v>151</v>
      </c>
      <c r="F60" s="29">
        <v>2</v>
      </c>
      <c r="G60" s="29">
        <v>3</v>
      </c>
      <c r="H60" s="29">
        <v>2</v>
      </c>
      <c r="I60" s="29">
        <f t="shared" si="14"/>
        <v>6</v>
      </c>
      <c r="J60" s="16">
        <v>68000</v>
      </c>
      <c r="K60" s="16">
        <f t="shared" si="1"/>
        <v>408000</v>
      </c>
      <c r="L60" s="16">
        <f t="shared" si="6"/>
        <v>4896000</v>
      </c>
      <c r="M60" s="16">
        <v>69000</v>
      </c>
      <c r="N60" s="16">
        <f t="shared" si="7"/>
        <v>828000</v>
      </c>
      <c r="O60" s="16">
        <f t="shared" si="13"/>
        <v>5724000</v>
      </c>
      <c r="P60" s="14"/>
    </row>
    <row r="61" spans="1:16" s="51" customFormat="1" ht="15" x14ac:dyDescent="0.25">
      <c r="A61" s="6">
        <v>17</v>
      </c>
      <c r="B61" s="86" t="s">
        <v>287</v>
      </c>
      <c r="C61" s="37" t="s">
        <v>264</v>
      </c>
      <c r="D61" s="6">
        <v>44</v>
      </c>
      <c r="E61" s="37" t="s">
        <v>151</v>
      </c>
      <c r="F61" s="29">
        <v>1</v>
      </c>
      <c r="G61" s="80">
        <v>1.5</v>
      </c>
      <c r="H61" s="29">
        <v>2</v>
      </c>
      <c r="I61" s="29">
        <f>G61*H61</f>
        <v>3</v>
      </c>
      <c r="J61" s="16">
        <v>68000</v>
      </c>
      <c r="K61" s="16">
        <f>I61*J61</f>
        <v>204000</v>
      </c>
      <c r="L61" s="16">
        <f>K61*12</f>
        <v>2448000</v>
      </c>
      <c r="M61" s="16">
        <v>69000</v>
      </c>
      <c r="N61" s="16">
        <f>M61*12</f>
        <v>828000</v>
      </c>
      <c r="O61" s="16">
        <f>L61+N61</f>
        <v>3276000</v>
      </c>
      <c r="P61" s="27"/>
    </row>
    <row r="62" spans="1:16" s="51" customFormat="1" ht="15" x14ac:dyDescent="0.25">
      <c r="A62" s="6">
        <v>18</v>
      </c>
      <c r="B62" s="86" t="s">
        <v>407</v>
      </c>
      <c r="C62" s="37" t="s">
        <v>162</v>
      </c>
      <c r="D62" s="6">
        <v>45</v>
      </c>
      <c r="E62" s="37" t="s">
        <v>151</v>
      </c>
      <c r="F62" s="29">
        <v>1</v>
      </c>
      <c r="G62" s="80">
        <v>1.5</v>
      </c>
      <c r="H62" s="29">
        <v>2</v>
      </c>
      <c r="I62" s="29">
        <f>G62*H62</f>
        <v>3</v>
      </c>
      <c r="J62" s="16">
        <v>68000</v>
      </c>
      <c r="K62" s="16">
        <f>I62*J62</f>
        <v>204000</v>
      </c>
      <c r="L62" s="16">
        <f>K62*12</f>
        <v>2448000</v>
      </c>
      <c r="M62" s="16">
        <v>69000</v>
      </c>
      <c r="N62" s="16">
        <f>M62*12</f>
        <v>828000</v>
      </c>
      <c r="O62" s="16">
        <f>L62+N62</f>
        <v>3276000</v>
      </c>
      <c r="P62" s="14"/>
    </row>
    <row r="63" spans="1:16" s="51" customFormat="1" ht="15" x14ac:dyDescent="0.25">
      <c r="A63" s="6"/>
      <c r="B63" s="102" t="s">
        <v>304</v>
      </c>
      <c r="C63" s="37"/>
      <c r="D63" s="81"/>
      <c r="E63" s="37"/>
      <c r="F63" s="105">
        <f>SUM(F45:F62)</f>
        <v>27</v>
      </c>
      <c r="G63" s="80"/>
      <c r="H63" s="29"/>
      <c r="I63" s="29"/>
      <c r="J63" s="16"/>
      <c r="K63" s="16">
        <f>SUM(K45:K62)</f>
        <v>5508000</v>
      </c>
      <c r="L63" s="105">
        <f>SUM(L45:L62)</f>
        <v>66096000</v>
      </c>
      <c r="M63" s="16"/>
      <c r="N63" s="105">
        <f>SUM(N45:N62)</f>
        <v>14076000</v>
      </c>
      <c r="O63" s="105">
        <f>SUM(O45:O62)</f>
        <v>80172000</v>
      </c>
      <c r="P63" s="16"/>
    </row>
    <row r="64" spans="1:16" s="11" customFormat="1" ht="15" x14ac:dyDescent="0.25">
      <c r="A64" s="264" t="s">
        <v>309</v>
      </c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6"/>
    </row>
    <row r="65" spans="1:16" s="12" customFormat="1" ht="15" x14ac:dyDescent="0.25">
      <c r="A65" s="6">
        <v>1</v>
      </c>
      <c r="B65" s="192" t="s">
        <v>402</v>
      </c>
      <c r="C65" s="124" t="s">
        <v>188</v>
      </c>
      <c r="D65" s="124">
        <v>46</v>
      </c>
      <c r="E65" s="124" t="s">
        <v>38</v>
      </c>
      <c r="F65" s="124">
        <v>2</v>
      </c>
      <c r="G65" s="124">
        <f>1.5*2</f>
        <v>3</v>
      </c>
      <c r="H65" s="124">
        <v>2</v>
      </c>
      <c r="I65" s="124">
        <f>G65*H65</f>
        <v>6</v>
      </c>
      <c r="J65" s="186">
        <v>68000</v>
      </c>
      <c r="K65" s="186">
        <f t="shared" ref="K65:K88" si="15">I65*J65</f>
        <v>408000</v>
      </c>
      <c r="L65" s="186">
        <f t="shared" ref="L65:L87" si="16">K65*12</f>
        <v>4896000</v>
      </c>
      <c r="M65" s="186">
        <v>69000</v>
      </c>
      <c r="N65" s="186">
        <f t="shared" ref="N65:N87" si="17">M65*12</f>
        <v>828000</v>
      </c>
      <c r="O65" s="186">
        <f>L65+N65</f>
        <v>5724000</v>
      </c>
      <c r="P65" s="14"/>
    </row>
    <row r="66" spans="1:16" s="22" customFormat="1" ht="30" x14ac:dyDescent="0.25">
      <c r="A66" s="6">
        <v>2</v>
      </c>
      <c r="B66" s="192" t="s">
        <v>108</v>
      </c>
      <c r="C66" s="124" t="s">
        <v>114</v>
      </c>
      <c r="D66" s="124">
        <v>47</v>
      </c>
      <c r="E66" s="124" t="s">
        <v>49</v>
      </c>
      <c r="F66" s="124">
        <v>2</v>
      </c>
      <c r="G66" s="124">
        <v>3</v>
      </c>
      <c r="H66" s="124">
        <v>2</v>
      </c>
      <c r="I66" s="124">
        <f t="shared" ref="I66:I87" si="18">G66*H66</f>
        <v>6</v>
      </c>
      <c r="J66" s="186">
        <v>68000</v>
      </c>
      <c r="K66" s="186">
        <f t="shared" si="15"/>
        <v>408000</v>
      </c>
      <c r="L66" s="186">
        <f t="shared" si="16"/>
        <v>4896000</v>
      </c>
      <c r="M66" s="186">
        <v>69000</v>
      </c>
      <c r="N66" s="186">
        <f t="shared" si="17"/>
        <v>828000</v>
      </c>
      <c r="O66" s="186">
        <f t="shared" ref="O66:O88" si="19">L66+N66</f>
        <v>5724000</v>
      </c>
      <c r="P66" s="14"/>
    </row>
    <row r="67" spans="1:16" s="51" customFormat="1" ht="30" x14ac:dyDescent="0.25">
      <c r="A67" s="6">
        <v>3</v>
      </c>
      <c r="B67" s="192" t="s">
        <v>349</v>
      </c>
      <c r="C67" s="124" t="s">
        <v>105</v>
      </c>
      <c r="D67" s="124">
        <v>48</v>
      </c>
      <c r="E67" s="124" t="s">
        <v>49</v>
      </c>
      <c r="F67" s="124">
        <v>1</v>
      </c>
      <c r="G67" s="124">
        <v>1.5</v>
      </c>
      <c r="H67" s="124">
        <v>2</v>
      </c>
      <c r="I67" s="124">
        <f t="shared" si="18"/>
        <v>3</v>
      </c>
      <c r="J67" s="186">
        <v>68000</v>
      </c>
      <c r="K67" s="186">
        <f t="shared" si="15"/>
        <v>204000</v>
      </c>
      <c r="L67" s="186">
        <f t="shared" si="16"/>
        <v>2448000</v>
      </c>
      <c r="M67" s="186">
        <v>69000</v>
      </c>
      <c r="N67" s="186">
        <f t="shared" si="17"/>
        <v>828000</v>
      </c>
      <c r="O67" s="186">
        <f t="shared" si="19"/>
        <v>3276000</v>
      </c>
      <c r="P67" s="14"/>
    </row>
    <row r="68" spans="1:16" s="12" customFormat="1" ht="30" x14ac:dyDescent="0.25">
      <c r="A68" s="6">
        <v>4</v>
      </c>
      <c r="B68" s="192" t="s">
        <v>384</v>
      </c>
      <c r="C68" s="124" t="s">
        <v>385</v>
      </c>
      <c r="D68" s="124">
        <v>49</v>
      </c>
      <c r="E68" s="124" t="s">
        <v>49</v>
      </c>
      <c r="F68" s="124">
        <v>1</v>
      </c>
      <c r="G68" s="124">
        <v>1.5</v>
      </c>
      <c r="H68" s="124">
        <v>2</v>
      </c>
      <c r="I68" s="124">
        <f t="shared" si="18"/>
        <v>3</v>
      </c>
      <c r="J68" s="186">
        <v>68000</v>
      </c>
      <c r="K68" s="186">
        <f t="shared" si="15"/>
        <v>204000</v>
      </c>
      <c r="L68" s="186">
        <f>K68*12</f>
        <v>2448000</v>
      </c>
      <c r="M68" s="186">
        <v>69000</v>
      </c>
      <c r="N68" s="186">
        <f>M68*12</f>
        <v>828000</v>
      </c>
      <c r="O68" s="186">
        <f t="shared" si="19"/>
        <v>3276000</v>
      </c>
      <c r="P68" s="78"/>
    </row>
    <row r="69" spans="1:16" s="12" customFormat="1" ht="30" x14ac:dyDescent="0.25">
      <c r="A69" s="6">
        <v>5</v>
      </c>
      <c r="B69" s="192" t="s">
        <v>39</v>
      </c>
      <c r="C69" s="124" t="s">
        <v>117</v>
      </c>
      <c r="D69" s="124">
        <v>50</v>
      </c>
      <c r="E69" s="124" t="s">
        <v>49</v>
      </c>
      <c r="F69" s="124">
        <v>1</v>
      </c>
      <c r="G69" s="124">
        <v>1.5</v>
      </c>
      <c r="H69" s="124">
        <v>2</v>
      </c>
      <c r="I69" s="124">
        <f t="shared" si="18"/>
        <v>3</v>
      </c>
      <c r="J69" s="186">
        <v>68000</v>
      </c>
      <c r="K69" s="186">
        <f t="shared" si="15"/>
        <v>204000</v>
      </c>
      <c r="L69" s="186">
        <f t="shared" si="16"/>
        <v>2448000</v>
      </c>
      <c r="M69" s="186">
        <v>69000</v>
      </c>
      <c r="N69" s="186">
        <f t="shared" si="17"/>
        <v>828000</v>
      </c>
      <c r="O69" s="186">
        <f t="shared" si="19"/>
        <v>3276000</v>
      </c>
      <c r="P69" s="14"/>
    </row>
    <row r="70" spans="1:16" s="12" customFormat="1" ht="30" x14ac:dyDescent="0.25">
      <c r="A70" s="6">
        <v>6</v>
      </c>
      <c r="B70" s="192" t="s">
        <v>40</v>
      </c>
      <c r="C70" s="124" t="s">
        <v>111</v>
      </c>
      <c r="D70" s="124">
        <v>51</v>
      </c>
      <c r="E70" s="124" t="s">
        <v>49</v>
      </c>
      <c r="F70" s="124">
        <v>1</v>
      </c>
      <c r="G70" s="124">
        <v>1.5</v>
      </c>
      <c r="H70" s="124">
        <v>2</v>
      </c>
      <c r="I70" s="124">
        <f t="shared" si="18"/>
        <v>3</v>
      </c>
      <c r="J70" s="186">
        <v>68000</v>
      </c>
      <c r="K70" s="186">
        <f t="shared" si="15"/>
        <v>204000</v>
      </c>
      <c r="L70" s="186">
        <f t="shared" si="16"/>
        <v>2448000</v>
      </c>
      <c r="M70" s="186">
        <v>69000</v>
      </c>
      <c r="N70" s="186">
        <f t="shared" si="17"/>
        <v>828000</v>
      </c>
      <c r="O70" s="186">
        <f t="shared" si="19"/>
        <v>3276000</v>
      </c>
      <c r="P70" s="14"/>
    </row>
    <row r="71" spans="1:16" s="12" customFormat="1" ht="15" x14ac:dyDescent="0.25">
      <c r="A71" s="6">
        <v>7</v>
      </c>
      <c r="B71" s="192" t="s">
        <v>448</v>
      </c>
      <c r="C71" s="124" t="s">
        <v>449</v>
      </c>
      <c r="D71" s="124">
        <v>52</v>
      </c>
      <c r="E71" s="124" t="s">
        <v>49</v>
      </c>
      <c r="F71" s="124">
        <v>1</v>
      </c>
      <c r="G71" s="124">
        <v>1.5</v>
      </c>
      <c r="H71" s="124">
        <v>2</v>
      </c>
      <c r="I71" s="124">
        <f t="shared" si="18"/>
        <v>3</v>
      </c>
      <c r="J71" s="186">
        <v>68000</v>
      </c>
      <c r="K71" s="186">
        <f t="shared" si="15"/>
        <v>204000</v>
      </c>
      <c r="L71" s="186">
        <f t="shared" si="16"/>
        <v>2448000</v>
      </c>
      <c r="M71" s="186">
        <v>69000</v>
      </c>
      <c r="N71" s="186">
        <f t="shared" si="17"/>
        <v>828000</v>
      </c>
      <c r="O71" s="186">
        <f t="shared" si="19"/>
        <v>3276000</v>
      </c>
      <c r="P71" s="14"/>
    </row>
    <row r="72" spans="1:16" s="12" customFormat="1" ht="15" x14ac:dyDescent="0.25">
      <c r="A72" s="6">
        <v>8</v>
      </c>
      <c r="B72" s="193" t="s">
        <v>285</v>
      </c>
      <c r="C72" s="188" t="s">
        <v>286</v>
      </c>
      <c r="D72" s="124">
        <v>53</v>
      </c>
      <c r="E72" s="188" t="s">
        <v>49</v>
      </c>
      <c r="F72" s="188">
        <v>1</v>
      </c>
      <c r="G72" s="188">
        <v>1.5</v>
      </c>
      <c r="H72" s="188">
        <v>2</v>
      </c>
      <c r="I72" s="188">
        <f t="shared" si="18"/>
        <v>3</v>
      </c>
      <c r="J72" s="194">
        <v>68000</v>
      </c>
      <c r="K72" s="194">
        <f t="shared" si="15"/>
        <v>204000</v>
      </c>
      <c r="L72" s="194">
        <f>K72*12</f>
        <v>2448000</v>
      </c>
      <c r="M72" s="194">
        <v>69000</v>
      </c>
      <c r="N72" s="194">
        <f>M72*12</f>
        <v>828000</v>
      </c>
      <c r="O72" s="194">
        <f t="shared" si="19"/>
        <v>3276000</v>
      </c>
      <c r="P72" s="173"/>
    </row>
    <row r="73" spans="1:16" s="12" customFormat="1" ht="30" x14ac:dyDescent="0.25">
      <c r="A73" s="6">
        <v>9</v>
      </c>
      <c r="B73" s="192" t="s">
        <v>325</v>
      </c>
      <c r="C73" s="124" t="s">
        <v>128</v>
      </c>
      <c r="D73" s="124">
        <v>54</v>
      </c>
      <c r="E73" s="124" t="s">
        <v>49</v>
      </c>
      <c r="F73" s="124">
        <v>1</v>
      </c>
      <c r="G73" s="124">
        <v>1.5</v>
      </c>
      <c r="H73" s="124">
        <v>2</v>
      </c>
      <c r="I73" s="124">
        <f t="shared" si="18"/>
        <v>3</v>
      </c>
      <c r="J73" s="186">
        <v>68000</v>
      </c>
      <c r="K73" s="186">
        <f t="shared" si="15"/>
        <v>204000</v>
      </c>
      <c r="L73" s="186">
        <f t="shared" si="16"/>
        <v>2448000</v>
      </c>
      <c r="M73" s="186">
        <v>69000</v>
      </c>
      <c r="N73" s="186">
        <f t="shared" si="17"/>
        <v>828000</v>
      </c>
      <c r="O73" s="186">
        <f t="shared" si="19"/>
        <v>3276000</v>
      </c>
    </row>
    <row r="74" spans="1:16" s="12" customFormat="1" ht="15" x14ac:dyDescent="0.25">
      <c r="A74" s="6">
        <v>10</v>
      </c>
      <c r="B74" s="192" t="s">
        <v>408</v>
      </c>
      <c r="C74" s="124" t="s">
        <v>344</v>
      </c>
      <c r="D74" s="124">
        <v>55</v>
      </c>
      <c r="E74" s="124" t="s">
        <v>281</v>
      </c>
      <c r="F74" s="124">
        <v>1</v>
      </c>
      <c r="G74" s="124">
        <v>1.5</v>
      </c>
      <c r="H74" s="124">
        <v>2</v>
      </c>
      <c r="I74" s="124">
        <f t="shared" si="18"/>
        <v>3</v>
      </c>
      <c r="J74" s="186">
        <v>68000</v>
      </c>
      <c r="K74" s="186">
        <f t="shared" si="15"/>
        <v>204000</v>
      </c>
      <c r="L74" s="186">
        <f>K74*12</f>
        <v>2448000</v>
      </c>
      <c r="M74" s="186">
        <v>69000</v>
      </c>
      <c r="N74" s="186">
        <f>M74*12</f>
        <v>828000</v>
      </c>
      <c r="O74" s="186">
        <f t="shared" si="19"/>
        <v>3276000</v>
      </c>
      <c r="P74" s="14"/>
    </row>
    <row r="75" spans="1:16" s="12" customFormat="1" ht="30" x14ac:dyDescent="0.25">
      <c r="A75" s="6">
        <v>11</v>
      </c>
      <c r="B75" s="192" t="s">
        <v>41</v>
      </c>
      <c r="C75" s="124" t="s">
        <v>205</v>
      </c>
      <c r="D75" s="124">
        <v>56</v>
      </c>
      <c r="E75" s="124" t="s">
        <v>49</v>
      </c>
      <c r="F75" s="124">
        <v>1</v>
      </c>
      <c r="G75" s="124">
        <v>1.5</v>
      </c>
      <c r="H75" s="124">
        <v>2</v>
      </c>
      <c r="I75" s="124">
        <f t="shared" si="18"/>
        <v>3</v>
      </c>
      <c r="J75" s="186">
        <v>68000</v>
      </c>
      <c r="K75" s="186">
        <f t="shared" si="15"/>
        <v>204000</v>
      </c>
      <c r="L75" s="186">
        <f t="shared" si="16"/>
        <v>2448000</v>
      </c>
      <c r="M75" s="186">
        <v>69000</v>
      </c>
      <c r="N75" s="186">
        <f t="shared" si="17"/>
        <v>828000</v>
      </c>
      <c r="O75" s="186">
        <f t="shared" si="19"/>
        <v>3276000</v>
      </c>
      <c r="P75" s="14"/>
    </row>
    <row r="76" spans="1:16" s="12" customFormat="1" ht="30" x14ac:dyDescent="0.25">
      <c r="A76" s="6">
        <v>12</v>
      </c>
      <c r="B76" s="192" t="s">
        <v>42</v>
      </c>
      <c r="C76" s="124" t="s">
        <v>132</v>
      </c>
      <c r="D76" s="124">
        <v>57</v>
      </c>
      <c r="E76" s="124" t="s">
        <v>49</v>
      </c>
      <c r="F76" s="124">
        <v>1</v>
      </c>
      <c r="G76" s="124">
        <v>1.5</v>
      </c>
      <c r="H76" s="124">
        <v>2</v>
      </c>
      <c r="I76" s="124">
        <f t="shared" si="18"/>
        <v>3</v>
      </c>
      <c r="J76" s="186">
        <v>68000</v>
      </c>
      <c r="K76" s="186">
        <f t="shared" si="15"/>
        <v>204000</v>
      </c>
      <c r="L76" s="186">
        <f t="shared" si="16"/>
        <v>2448000</v>
      </c>
      <c r="M76" s="186">
        <v>69000</v>
      </c>
      <c r="N76" s="186">
        <f t="shared" si="17"/>
        <v>828000</v>
      </c>
      <c r="O76" s="186">
        <f t="shared" si="19"/>
        <v>3276000</v>
      </c>
      <c r="P76" s="14"/>
    </row>
    <row r="77" spans="1:16" s="12" customFormat="1" ht="30" x14ac:dyDescent="0.25">
      <c r="A77" s="6">
        <v>13</v>
      </c>
      <c r="B77" s="192" t="s">
        <v>432</v>
      </c>
      <c r="C77" s="124" t="s">
        <v>127</v>
      </c>
      <c r="D77" s="124">
        <v>58</v>
      </c>
      <c r="E77" s="124" t="s">
        <v>49</v>
      </c>
      <c r="F77" s="124">
        <v>1</v>
      </c>
      <c r="G77" s="124">
        <v>1.5</v>
      </c>
      <c r="H77" s="124">
        <v>2</v>
      </c>
      <c r="I77" s="124">
        <f t="shared" si="18"/>
        <v>3</v>
      </c>
      <c r="J77" s="186">
        <v>68000</v>
      </c>
      <c r="K77" s="186">
        <f t="shared" si="15"/>
        <v>204000</v>
      </c>
      <c r="L77" s="186">
        <f t="shared" si="16"/>
        <v>2448000</v>
      </c>
      <c r="M77" s="186">
        <v>69000</v>
      </c>
      <c r="N77" s="186">
        <f t="shared" si="17"/>
        <v>828000</v>
      </c>
      <c r="O77" s="186">
        <f t="shared" si="19"/>
        <v>3276000</v>
      </c>
      <c r="P77" s="14"/>
    </row>
    <row r="78" spans="1:16" s="12" customFormat="1" ht="15" x14ac:dyDescent="0.25">
      <c r="A78" s="6">
        <v>14</v>
      </c>
      <c r="B78" s="192" t="s">
        <v>43</v>
      </c>
      <c r="C78" s="124" t="s">
        <v>149</v>
      </c>
      <c r="D78" s="124">
        <v>59</v>
      </c>
      <c r="E78" s="124" t="s">
        <v>65</v>
      </c>
      <c r="F78" s="124">
        <v>1</v>
      </c>
      <c r="G78" s="124">
        <v>1.5</v>
      </c>
      <c r="H78" s="124">
        <v>2</v>
      </c>
      <c r="I78" s="124">
        <f t="shared" si="18"/>
        <v>3</v>
      </c>
      <c r="J78" s="186">
        <v>68000</v>
      </c>
      <c r="K78" s="186">
        <f t="shared" si="15"/>
        <v>204000</v>
      </c>
      <c r="L78" s="186">
        <f t="shared" si="16"/>
        <v>2448000</v>
      </c>
      <c r="M78" s="186">
        <v>69000</v>
      </c>
      <c r="N78" s="186">
        <f t="shared" si="17"/>
        <v>828000</v>
      </c>
      <c r="O78" s="186">
        <f t="shared" si="19"/>
        <v>3276000</v>
      </c>
      <c r="P78" s="14"/>
    </row>
    <row r="79" spans="1:16" s="12" customFormat="1" ht="30" x14ac:dyDescent="0.25">
      <c r="A79" s="6">
        <v>15</v>
      </c>
      <c r="B79" s="192" t="s">
        <v>115</v>
      </c>
      <c r="C79" s="124" t="s">
        <v>116</v>
      </c>
      <c r="D79" s="124">
        <v>60</v>
      </c>
      <c r="E79" s="124" t="s">
        <v>49</v>
      </c>
      <c r="F79" s="124">
        <v>1</v>
      </c>
      <c r="G79" s="124">
        <v>1.5</v>
      </c>
      <c r="H79" s="124">
        <v>2</v>
      </c>
      <c r="I79" s="124">
        <f t="shared" si="18"/>
        <v>3</v>
      </c>
      <c r="J79" s="186">
        <v>68000</v>
      </c>
      <c r="K79" s="186">
        <f t="shared" si="15"/>
        <v>204000</v>
      </c>
      <c r="L79" s="186">
        <f t="shared" si="16"/>
        <v>2448000</v>
      </c>
      <c r="M79" s="186">
        <v>69000</v>
      </c>
      <c r="N79" s="186">
        <f t="shared" si="17"/>
        <v>828000</v>
      </c>
      <c r="O79" s="186">
        <f t="shared" si="19"/>
        <v>3276000</v>
      </c>
      <c r="P79" s="14"/>
    </row>
    <row r="80" spans="1:16" s="12" customFormat="1" ht="30" x14ac:dyDescent="0.25">
      <c r="A80" s="6">
        <v>16</v>
      </c>
      <c r="B80" s="193" t="s">
        <v>44</v>
      </c>
      <c r="C80" s="124" t="s">
        <v>157</v>
      </c>
      <c r="D80" s="124">
        <v>61</v>
      </c>
      <c r="E80" s="124" t="s">
        <v>49</v>
      </c>
      <c r="F80" s="124">
        <v>2</v>
      </c>
      <c r="G80" s="124">
        <f>1.5*2</f>
        <v>3</v>
      </c>
      <c r="H80" s="124">
        <v>2</v>
      </c>
      <c r="I80" s="124">
        <f t="shared" si="18"/>
        <v>6</v>
      </c>
      <c r="J80" s="186">
        <v>68000</v>
      </c>
      <c r="K80" s="186">
        <f t="shared" si="15"/>
        <v>408000</v>
      </c>
      <c r="L80" s="186">
        <f t="shared" si="16"/>
        <v>4896000</v>
      </c>
      <c r="M80" s="186">
        <v>69000</v>
      </c>
      <c r="N80" s="186">
        <f t="shared" si="17"/>
        <v>828000</v>
      </c>
      <c r="O80" s="186">
        <f t="shared" si="19"/>
        <v>5724000</v>
      </c>
      <c r="P80" s="14"/>
    </row>
    <row r="81" spans="1:16" s="12" customFormat="1" ht="30" x14ac:dyDescent="0.25">
      <c r="A81" s="6">
        <v>17</v>
      </c>
      <c r="B81" s="193" t="s">
        <v>45</v>
      </c>
      <c r="C81" s="124" t="s">
        <v>192</v>
      </c>
      <c r="D81" s="124">
        <v>62</v>
      </c>
      <c r="E81" s="124" t="s">
        <v>49</v>
      </c>
      <c r="F81" s="124">
        <v>1</v>
      </c>
      <c r="G81" s="124">
        <v>1.5</v>
      </c>
      <c r="H81" s="124">
        <v>2</v>
      </c>
      <c r="I81" s="124">
        <f t="shared" si="18"/>
        <v>3</v>
      </c>
      <c r="J81" s="186">
        <v>68000</v>
      </c>
      <c r="K81" s="186">
        <f t="shared" si="15"/>
        <v>204000</v>
      </c>
      <c r="L81" s="186">
        <f t="shared" si="16"/>
        <v>2448000</v>
      </c>
      <c r="M81" s="186">
        <v>69000</v>
      </c>
      <c r="N81" s="186">
        <f t="shared" si="17"/>
        <v>828000</v>
      </c>
      <c r="O81" s="186">
        <f t="shared" si="19"/>
        <v>3276000</v>
      </c>
      <c r="P81" s="14"/>
    </row>
    <row r="82" spans="1:16" s="12" customFormat="1" ht="30" x14ac:dyDescent="0.25">
      <c r="A82" s="6">
        <v>18</v>
      </c>
      <c r="B82" s="193" t="s">
        <v>46</v>
      </c>
      <c r="C82" s="124" t="s">
        <v>163</v>
      </c>
      <c r="D82" s="124">
        <v>63</v>
      </c>
      <c r="E82" s="124" t="s">
        <v>49</v>
      </c>
      <c r="F82" s="124">
        <v>1</v>
      </c>
      <c r="G82" s="124">
        <v>1.5</v>
      </c>
      <c r="H82" s="124">
        <v>2</v>
      </c>
      <c r="I82" s="124">
        <f t="shared" si="18"/>
        <v>3</v>
      </c>
      <c r="J82" s="186">
        <v>68000</v>
      </c>
      <c r="K82" s="186">
        <f t="shared" si="15"/>
        <v>204000</v>
      </c>
      <c r="L82" s="186">
        <f t="shared" si="16"/>
        <v>2448000</v>
      </c>
      <c r="M82" s="186">
        <v>69000</v>
      </c>
      <c r="N82" s="186">
        <f t="shared" si="17"/>
        <v>828000</v>
      </c>
      <c r="O82" s="186">
        <f t="shared" si="19"/>
        <v>3276000</v>
      </c>
      <c r="P82" s="14"/>
    </row>
    <row r="83" spans="1:16" s="12" customFormat="1" ht="30" x14ac:dyDescent="0.25">
      <c r="A83" s="6">
        <v>19</v>
      </c>
      <c r="B83" s="192" t="s">
        <v>47</v>
      </c>
      <c r="C83" s="124" t="s">
        <v>187</v>
      </c>
      <c r="D83" s="124">
        <v>64</v>
      </c>
      <c r="E83" s="124" t="s">
        <v>49</v>
      </c>
      <c r="F83" s="124">
        <v>1</v>
      </c>
      <c r="G83" s="124">
        <v>1.5</v>
      </c>
      <c r="H83" s="124">
        <v>2</v>
      </c>
      <c r="I83" s="124">
        <f t="shared" si="18"/>
        <v>3</v>
      </c>
      <c r="J83" s="186">
        <v>68000</v>
      </c>
      <c r="K83" s="186">
        <f t="shared" si="15"/>
        <v>204000</v>
      </c>
      <c r="L83" s="186">
        <f t="shared" si="16"/>
        <v>2448000</v>
      </c>
      <c r="M83" s="186">
        <v>69000</v>
      </c>
      <c r="N83" s="186">
        <f t="shared" si="17"/>
        <v>828000</v>
      </c>
      <c r="O83" s="186">
        <f t="shared" si="19"/>
        <v>3276000</v>
      </c>
      <c r="P83" s="14"/>
    </row>
    <row r="84" spans="1:16" s="12" customFormat="1" ht="15" x14ac:dyDescent="0.25">
      <c r="A84" s="6">
        <v>20</v>
      </c>
      <c r="B84" s="192" t="s">
        <v>164</v>
      </c>
      <c r="C84" s="124" t="s">
        <v>165</v>
      </c>
      <c r="D84" s="124">
        <v>65</v>
      </c>
      <c r="E84" s="124" t="s">
        <v>49</v>
      </c>
      <c r="F84" s="124">
        <v>1</v>
      </c>
      <c r="G84" s="124">
        <v>1.5</v>
      </c>
      <c r="H84" s="124">
        <v>2</v>
      </c>
      <c r="I84" s="124">
        <f t="shared" si="18"/>
        <v>3</v>
      </c>
      <c r="J84" s="186">
        <v>68000</v>
      </c>
      <c r="K84" s="186">
        <f t="shared" si="15"/>
        <v>204000</v>
      </c>
      <c r="L84" s="186">
        <f t="shared" si="16"/>
        <v>2448000</v>
      </c>
      <c r="M84" s="186">
        <v>69000</v>
      </c>
      <c r="N84" s="186">
        <f t="shared" si="17"/>
        <v>828000</v>
      </c>
      <c r="O84" s="186">
        <f t="shared" si="19"/>
        <v>3276000</v>
      </c>
      <c r="P84" s="14"/>
    </row>
    <row r="85" spans="1:16" s="12" customFormat="1" ht="15" x14ac:dyDescent="0.25">
      <c r="A85" s="6">
        <v>21</v>
      </c>
      <c r="B85" s="192" t="s">
        <v>280</v>
      </c>
      <c r="C85" s="124" t="s">
        <v>168</v>
      </c>
      <c r="D85" s="124">
        <v>66</v>
      </c>
      <c r="E85" s="124" t="s">
        <v>49</v>
      </c>
      <c r="F85" s="124">
        <v>2</v>
      </c>
      <c r="G85" s="124">
        <v>3</v>
      </c>
      <c r="H85" s="124">
        <v>2</v>
      </c>
      <c r="I85" s="124">
        <f t="shared" si="18"/>
        <v>6</v>
      </c>
      <c r="J85" s="186">
        <v>68000</v>
      </c>
      <c r="K85" s="186">
        <f t="shared" si="15"/>
        <v>408000</v>
      </c>
      <c r="L85" s="186">
        <f t="shared" si="16"/>
        <v>4896000</v>
      </c>
      <c r="M85" s="186">
        <v>69000</v>
      </c>
      <c r="N85" s="186">
        <f t="shared" si="17"/>
        <v>828000</v>
      </c>
      <c r="O85" s="186">
        <f t="shared" si="19"/>
        <v>5724000</v>
      </c>
      <c r="P85" s="14"/>
    </row>
    <row r="86" spans="1:16" s="12" customFormat="1" ht="15" x14ac:dyDescent="0.25">
      <c r="A86" s="6">
        <v>22</v>
      </c>
      <c r="B86" s="192" t="s">
        <v>48</v>
      </c>
      <c r="C86" s="124" t="s">
        <v>185</v>
      </c>
      <c r="D86" s="124">
        <v>67</v>
      </c>
      <c r="E86" s="124" t="s">
        <v>49</v>
      </c>
      <c r="F86" s="124">
        <v>1</v>
      </c>
      <c r="G86" s="124">
        <v>1.5</v>
      </c>
      <c r="H86" s="124">
        <v>2</v>
      </c>
      <c r="I86" s="124">
        <f t="shared" si="18"/>
        <v>3</v>
      </c>
      <c r="J86" s="186">
        <v>68000</v>
      </c>
      <c r="K86" s="186">
        <f t="shared" si="15"/>
        <v>204000</v>
      </c>
      <c r="L86" s="186">
        <f t="shared" si="16"/>
        <v>2448000</v>
      </c>
      <c r="M86" s="186">
        <v>69000</v>
      </c>
      <c r="N86" s="186">
        <f t="shared" si="17"/>
        <v>828000</v>
      </c>
      <c r="O86" s="186">
        <f t="shared" si="19"/>
        <v>3276000</v>
      </c>
      <c r="P86" s="14"/>
    </row>
    <row r="87" spans="1:16" s="12" customFormat="1" ht="15" x14ac:dyDescent="0.25">
      <c r="A87" s="6">
        <v>23</v>
      </c>
      <c r="B87" s="192" t="s">
        <v>184</v>
      </c>
      <c r="C87" s="124" t="s">
        <v>269</v>
      </c>
      <c r="D87" s="124">
        <v>68</v>
      </c>
      <c r="E87" s="124" t="s">
        <v>49</v>
      </c>
      <c r="F87" s="124">
        <v>1</v>
      </c>
      <c r="G87" s="124">
        <v>1.5</v>
      </c>
      <c r="H87" s="124">
        <v>2</v>
      </c>
      <c r="I87" s="124">
        <f t="shared" si="18"/>
        <v>3</v>
      </c>
      <c r="J87" s="186">
        <v>68000</v>
      </c>
      <c r="K87" s="186">
        <f t="shared" si="15"/>
        <v>204000</v>
      </c>
      <c r="L87" s="186">
        <f t="shared" si="16"/>
        <v>2448000</v>
      </c>
      <c r="M87" s="186">
        <v>69000</v>
      </c>
      <c r="N87" s="186">
        <f t="shared" si="17"/>
        <v>828000</v>
      </c>
      <c r="O87" s="186">
        <f t="shared" si="19"/>
        <v>3276000</v>
      </c>
      <c r="P87" s="14"/>
    </row>
    <row r="88" spans="1:16" s="19" customFormat="1" ht="15" x14ac:dyDescent="0.25">
      <c r="A88" s="6">
        <v>24</v>
      </c>
      <c r="B88" s="192" t="s">
        <v>296</v>
      </c>
      <c r="C88" s="124" t="s">
        <v>297</v>
      </c>
      <c r="D88" s="124">
        <v>69</v>
      </c>
      <c r="E88" s="124" t="s">
        <v>49</v>
      </c>
      <c r="F88" s="124">
        <v>1</v>
      </c>
      <c r="G88" s="124">
        <v>1.5</v>
      </c>
      <c r="H88" s="124">
        <v>2</v>
      </c>
      <c r="I88" s="124">
        <f>G88*H88</f>
        <v>3</v>
      </c>
      <c r="J88" s="186">
        <v>68000</v>
      </c>
      <c r="K88" s="186">
        <f t="shared" si="15"/>
        <v>204000</v>
      </c>
      <c r="L88" s="186">
        <f>K88*12</f>
        <v>2448000</v>
      </c>
      <c r="M88" s="186">
        <v>69000</v>
      </c>
      <c r="N88" s="186">
        <f>M88*12</f>
        <v>828000</v>
      </c>
      <c r="O88" s="186">
        <f t="shared" si="19"/>
        <v>3276000</v>
      </c>
      <c r="P88" s="14"/>
    </row>
    <row r="89" spans="1:16" s="19" customFormat="1" ht="15" x14ac:dyDescent="0.25">
      <c r="A89" s="6">
        <v>25</v>
      </c>
      <c r="B89" s="192" t="s">
        <v>361</v>
      </c>
      <c r="C89" s="124"/>
      <c r="D89" s="124">
        <v>70</v>
      </c>
      <c r="E89" s="124" t="s">
        <v>49</v>
      </c>
      <c r="F89" s="188">
        <v>1</v>
      </c>
      <c r="G89" s="124">
        <v>1.5</v>
      </c>
      <c r="H89" s="124">
        <v>2</v>
      </c>
      <c r="I89" s="124">
        <v>3</v>
      </c>
      <c r="J89" s="186">
        <v>68000</v>
      </c>
      <c r="K89" s="186">
        <v>204000</v>
      </c>
      <c r="L89" s="186">
        <v>2448000</v>
      </c>
      <c r="M89" s="186">
        <v>69000</v>
      </c>
      <c r="N89" s="186">
        <v>828000</v>
      </c>
      <c r="O89" s="186">
        <v>3276000</v>
      </c>
      <c r="P89" s="14"/>
    </row>
    <row r="90" spans="1:16" s="19" customFormat="1" ht="15" x14ac:dyDescent="0.25">
      <c r="A90" s="6">
        <v>26</v>
      </c>
      <c r="B90" s="193" t="s">
        <v>341</v>
      </c>
      <c r="C90" s="188" t="s">
        <v>362</v>
      </c>
      <c r="D90" s="124">
        <v>71</v>
      </c>
      <c r="E90" s="124" t="s">
        <v>49</v>
      </c>
      <c r="F90" s="188">
        <v>1</v>
      </c>
      <c r="G90" s="124">
        <v>1.5</v>
      </c>
      <c r="H90" s="124">
        <v>2</v>
      </c>
      <c r="I90" s="124">
        <v>3</v>
      </c>
      <c r="J90" s="186">
        <v>68000</v>
      </c>
      <c r="K90" s="186">
        <v>204000</v>
      </c>
      <c r="L90" s="186">
        <v>2448000</v>
      </c>
      <c r="M90" s="186">
        <v>69000</v>
      </c>
      <c r="N90" s="186">
        <v>828000</v>
      </c>
      <c r="O90" s="186">
        <v>3276000</v>
      </c>
      <c r="P90" s="108"/>
    </row>
    <row r="91" spans="1:16" s="19" customFormat="1" ht="15" x14ac:dyDescent="0.25">
      <c r="A91" s="6">
        <v>27</v>
      </c>
      <c r="B91" s="193" t="s">
        <v>409</v>
      </c>
      <c r="C91" s="188" t="s">
        <v>410</v>
      </c>
      <c r="D91" s="124">
        <v>72</v>
      </c>
      <c r="E91" s="124" t="s">
        <v>49</v>
      </c>
      <c r="F91" s="188">
        <v>1</v>
      </c>
      <c r="G91" s="124">
        <v>1.5</v>
      </c>
      <c r="H91" s="124">
        <v>2</v>
      </c>
      <c r="I91" s="124">
        <v>3</v>
      </c>
      <c r="J91" s="186">
        <v>68000</v>
      </c>
      <c r="K91" s="186">
        <v>204000</v>
      </c>
      <c r="L91" s="186">
        <v>2448000</v>
      </c>
      <c r="M91" s="186">
        <v>69000</v>
      </c>
      <c r="N91" s="186">
        <v>828000</v>
      </c>
      <c r="O91" s="186">
        <v>3276000</v>
      </c>
      <c r="P91" s="108"/>
    </row>
    <row r="92" spans="1:16" s="19" customFormat="1" ht="15" x14ac:dyDescent="0.25">
      <c r="A92" s="95"/>
      <c r="B92" s="106" t="s">
        <v>304</v>
      </c>
      <c r="C92" s="97"/>
      <c r="D92" s="97"/>
      <c r="E92" s="97"/>
      <c r="F92" s="97">
        <f>SUM(F65:F91)</f>
        <v>31</v>
      </c>
      <c r="G92" s="97"/>
      <c r="H92" s="97"/>
      <c r="I92" s="97"/>
      <c r="J92" s="107"/>
      <c r="K92" s="107">
        <f>SUM(K65:K91)</f>
        <v>6324000</v>
      </c>
      <c r="L92" s="17">
        <f>SUM(L65:L91)</f>
        <v>75888000</v>
      </c>
      <c r="M92" s="107"/>
      <c r="N92" s="17">
        <f>SUM(N65:N91)</f>
        <v>22356000</v>
      </c>
      <c r="O92" s="17">
        <f>SUM(O65:O91)</f>
        <v>98244000</v>
      </c>
      <c r="P92" s="131"/>
    </row>
    <row r="93" spans="1:16" s="11" customFormat="1" ht="15" x14ac:dyDescent="0.25">
      <c r="A93" s="264" t="s">
        <v>310</v>
      </c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6"/>
    </row>
    <row r="94" spans="1:16" s="8" customFormat="1" ht="15" x14ac:dyDescent="0.25">
      <c r="A94" s="6">
        <v>1</v>
      </c>
      <c r="B94" s="184" t="s">
        <v>50</v>
      </c>
      <c r="C94" s="184"/>
      <c r="D94" s="124">
        <v>73</v>
      </c>
      <c r="E94" s="124" t="s">
        <v>53</v>
      </c>
      <c r="F94" s="124">
        <v>1</v>
      </c>
      <c r="G94" s="124">
        <v>2</v>
      </c>
      <c r="H94" s="124">
        <v>2</v>
      </c>
      <c r="I94" s="124">
        <f>G94*H94</f>
        <v>4</v>
      </c>
      <c r="J94" s="186">
        <v>68000</v>
      </c>
      <c r="K94" s="186">
        <f t="shared" ref="K94:K106" si="20">I94*J94</f>
        <v>272000</v>
      </c>
      <c r="L94" s="186">
        <f t="shared" ref="L94:L106" si="21">K94*12</f>
        <v>3264000</v>
      </c>
      <c r="M94" s="186">
        <v>69000</v>
      </c>
      <c r="N94" s="186">
        <f t="shared" ref="N94:N106" si="22">M94*12</f>
        <v>828000</v>
      </c>
      <c r="O94" s="186">
        <f>L94+N94</f>
        <v>4092000</v>
      </c>
      <c r="P94" s="27"/>
    </row>
    <row r="95" spans="1:16" s="8" customFormat="1" ht="15" x14ac:dyDescent="0.25">
      <c r="A95" s="6">
        <v>2</v>
      </c>
      <c r="B95" s="184" t="s">
        <v>51</v>
      </c>
      <c r="C95" s="184" t="s">
        <v>217</v>
      </c>
      <c r="D95" s="124">
        <v>74</v>
      </c>
      <c r="E95" s="124" t="s">
        <v>53</v>
      </c>
      <c r="F95" s="124">
        <v>1</v>
      </c>
      <c r="G95" s="124">
        <v>2</v>
      </c>
      <c r="H95" s="124">
        <v>2</v>
      </c>
      <c r="I95" s="124">
        <f t="shared" ref="I95:I106" si="23">G95*H95</f>
        <v>4</v>
      </c>
      <c r="J95" s="186">
        <v>68000</v>
      </c>
      <c r="K95" s="186">
        <f t="shared" si="20"/>
        <v>272000</v>
      </c>
      <c r="L95" s="186">
        <f>K95*12</f>
        <v>3264000</v>
      </c>
      <c r="M95" s="186">
        <v>69000</v>
      </c>
      <c r="N95" s="186">
        <f t="shared" si="22"/>
        <v>828000</v>
      </c>
      <c r="O95" s="186">
        <f t="shared" ref="O95:O106" si="24">L95+N95</f>
        <v>4092000</v>
      </c>
      <c r="P95" s="27"/>
    </row>
    <row r="96" spans="1:16" s="53" customFormat="1" ht="30" x14ac:dyDescent="0.25">
      <c r="A96" s="6">
        <v>3</v>
      </c>
      <c r="B96" s="184" t="s">
        <v>246</v>
      </c>
      <c r="C96" s="184" t="s">
        <v>249</v>
      </c>
      <c r="D96" s="124">
        <v>75</v>
      </c>
      <c r="E96" s="124" t="s">
        <v>53</v>
      </c>
      <c r="F96" s="124">
        <v>2</v>
      </c>
      <c r="G96" s="124">
        <v>4</v>
      </c>
      <c r="H96" s="124">
        <v>2</v>
      </c>
      <c r="I96" s="124">
        <f>G96*H96</f>
        <v>8</v>
      </c>
      <c r="J96" s="186">
        <v>68000</v>
      </c>
      <c r="K96" s="186">
        <f>I96*J96</f>
        <v>544000</v>
      </c>
      <c r="L96" s="186">
        <f>K96*12</f>
        <v>6528000</v>
      </c>
      <c r="M96" s="186">
        <v>69000</v>
      </c>
      <c r="N96" s="186">
        <f>M96*12</f>
        <v>828000</v>
      </c>
      <c r="O96" s="186">
        <f>L96+N96</f>
        <v>7356000</v>
      </c>
      <c r="P96" s="41"/>
    </row>
    <row r="97" spans="1:17" s="8" customFormat="1" ht="30" x14ac:dyDescent="0.25">
      <c r="A97" s="6">
        <v>4</v>
      </c>
      <c r="B97" s="184" t="s">
        <v>353</v>
      </c>
      <c r="C97" s="184" t="s">
        <v>271</v>
      </c>
      <c r="D97" s="124">
        <v>76</v>
      </c>
      <c r="E97" s="124" t="s">
        <v>53</v>
      </c>
      <c r="F97" s="124">
        <v>2</v>
      </c>
      <c r="G97" s="124">
        <v>4</v>
      </c>
      <c r="H97" s="124">
        <v>2</v>
      </c>
      <c r="I97" s="124">
        <f t="shared" si="23"/>
        <v>8</v>
      </c>
      <c r="J97" s="186">
        <v>68000</v>
      </c>
      <c r="K97" s="186">
        <f t="shared" si="20"/>
        <v>544000</v>
      </c>
      <c r="L97" s="186">
        <f>K97*12</f>
        <v>6528000</v>
      </c>
      <c r="M97" s="186">
        <v>69000</v>
      </c>
      <c r="N97" s="186">
        <f t="shared" si="22"/>
        <v>828000</v>
      </c>
      <c r="O97" s="186">
        <f t="shared" si="24"/>
        <v>7356000</v>
      </c>
      <c r="P97" s="27"/>
      <c r="Q97" s="70"/>
    </row>
    <row r="98" spans="1:17" s="53" customFormat="1" ht="45" x14ac:dyDescent="0.25">
      <c r="A98" s="6">
        <v>5</v>
      </c>
      <c r="B98" s="195" t="s">
        <v>431</v>
      </c>
      <c r="C98" s="184" t="s">
        <v>250</v>
      </c>
      <c r="D98" s="124">
        <v>77</v>
      </c>
      <c r="E98" s="124" t="s">
        <v>53</v>
      </c>
      <c r="F98" s="124">
        <v>1</v>
      </c>
      <c r="G98" s="124">
        <v>2</v>
      </c>
      <c r="H98" s="124">
        <v>2</v>
      </c>
      <c r="I98" s="124">
        <f>G98*H98</f>
        <v>4</v>
      </c>
      <c r="J98" s="186">
        <v>68000</v>
      </c>
      <c r="K98" s="186">
        <f t="shared" si="20"/>
        <v>272000</v>
      </c>
      <c r="L98" s="186">
        <f>K98*12</f>
        <v>3264000</v>
      </c>
      <c r="M98" s="186">
        <v>69000</v>
      </c>
      <c r="N98" s="186">
        <f>M98*12</f>
        <v>828000</v>
      </c>
      <c r="O98" s="186">
        <f t="shared" si="24"/>
        <v>4092000</v>
      </c>
      <c r="P98" s="27"/>
    </row>
    <row r="99" spans="1:17" s="44" customFormat="1" ht="15" x14ac:dyDescent="0.25">
      <c r="A99" s="6">
        <v>6</v>
      </c>
      <c r="B99" s="184" t="s">
        <v>24</v>
      </c>
      <c r="C99" s="184" t="s">
        <v>230</v>
      </c>
      <c r="D99" s="124">
        <v>78</v>
      </c>
      <c r="E99" s="124" t="s">
        <v>53</v>
      </c>
      <c r="F99" s="124">
        <v>1</v>
      </c>
      <c r="G99" s="124">
        <v>2</v>
      </c>
      <c r="H99" s="124">
        <v>2</v>
      </c>
      <c r="I99" s="124">
        <f t="shared" si="23"/>
        <v>4</v>
      </c>
      <c r="J99" s="186">
        <v>68000</v>
      </c>
      <c r="K99" s="186">
        <f t="shared" si="20"/>
        <v>272000</v>
      </c>
      <c r="L99" s="186">
        <f t="shared" si="21"/>
        <v>3264000</v>
      </c>
      <c r="M99" s="186">
        <v>69000</v>
      </c>
      <c r="N99" s="186">
        <f t="shared" si="22"/>
        <v>828000</v>
      </c>
      <c r="O99" s="186">
        <f t="shared" si="24"/>
        <v>4092000</v>
      </c>
      <c r="P99" s="27"/>
    </row>
    <row r="100" spans="1:17" s="53" customFormat="1" ht="15" x14ac:dyDescent="0.25">
      <c r="A100" s="6">
        <v>7</v>
      </c>
      <c r="B100" s="184" t="s">
        <v>243</v>
      </c>
      <c r="C100" s="184" t="s">
        <v>250</v>
      </c>
      <c r="D100" s="124">
        <v>79</v>
      </c>
      <c r="E100" s="124" t="s">
        <v>53</v>
      </c>
      <c r="F100" s="124">
        <v>1</v>
      </c>
      <c r="G100" s="124">
        <v>2</v>
      </c>
      <c r="H100" s="124">
        <v>2</v>
      </c>
      <c r="I100" s="124">
        <v>4</v>
      </c>
      <c r="J100" s="186">
        <v>68000</v>
      </c>
      <c r="K100" s="186">
        <f>I100*J100</f>
        <v>272000</v>
      </c>
      <c r="L100" s="186">
        <f>K100*12</f>
        <v>3264000</v>
      </c>
      <c r="M100" s="186">
        <v>69000</v>
      </c>
      <c r="N100" s="186">
        <f>M100*12</f>
        <v>828000</v>
      </c>
      <c r="O100" s="186">
        <f>L100+N100</f>
        <v>4092000</v>
      </c>
      <c r="P100" s="41"/>
    </row>
    <row r="101" spans="1:17" s="53" customFormat="1" ht="15" x14ac:dyDescent="0.25">
      <c r="A101" s="6">
        <v>8</v>
      </c>
      <c r="B101" s="195" t="s">
        <v>244</v>
      </c>
      <c r="C101" s="184" t="s">
        <v>252</v>
      </c>
      <c r="D101" s="124">
        <v>80</v>
      </c>
      <c r="E101" s="124" t="s">
        <v>53</v>
      </c>
      <c r="F101" s="124">
        <v>1</v>
      </c>
      <c r="G101" s="124">
        <v>2</v>
      </c>
      <c r="H101" s="124">
        <v>2</v>
      </c>
      <c r="I101" s="124">
        <v>4</v>
      </c>
      <c r="J101" s="186">
        <v>68000</v>
      </c>
      <c r="K101" s="186">
        <f>I101*J101</f>
        <v>272000</v>
      </c>
      <c r="L101" s="196">
        <f>K101*12</f>
        <v>3264000</v>
      </c>
      <c r="M101" s="186">
        <v>69000</v>
      </c>
      <c r="N101" s="186">
        <f>M101*12</f>
        <v>828000</v>
      </c>
      <c r="O101" s="186">
        <f>L101+N101</f>
        <v>4092000</v>
      </c>
      <c r="P101" s="27"/>
    </row>
    <row r="102" spans="1:17" s="8" customFormat="1" ht="15" x14ac:dyDescent="0.25">
      <c r="A102" s="6">
        <v>9</v>
      </c>
      <c r="B102" s="184" t="s">
        <v>233</v>
      </c>
      <c r="C102" s="184" t="s">
        <v>231</v>
      </c>
      <c r="D102" s="124">
        <v>81</v>
      </c>
      <c r="E102" s="124" t="s">
        <v>53</v>
      </c>
      <c r="F102" s="124">
        <v>1</v>
      </c>
      <c r="G102" s="124">
        <v>2</v>
      </c>
      <c r="H102" s="124">
        <v>2</v>
      </c>
      <c r="I102" s="124">
        <f t="shared" si="23"/>
        <v>4</v>
      </c>
      <c r="J102" s="186">
        <v>68000</v>
      </c>
      <c r="K102" s="186">
        <f t="shared" si="20"/>
        <v>272000</v>
      </c>
      <c r="L102" s="186">
        <f t="shared" si="21"/>
        <v>3264000</v>
      </c>
      <c r="M102" s="186">
        <v>69000</v>
      </c>
      <c r="N102" s="186">
        <f t="shared" si="22"/>
        <v>828000</v>
      </c>
      <c r="O102" s="186">
        <f t="shared" si="24"/>
        <v>4092000</v>
      </c>
      <c r="P102" s="27"/>
    </row>
    <row r="103" spans="1:17" s="8" customFormat="1" ht="15" x14ac:dyDescent="0.25">
      <c r="A103" s="6">
        <v>10</v>
      </c>
      <c r="B103" s="184" t="s">
        <v>52</v>
      </c>
      <c r="C103" s="197" t="s">
        <v>274</v>
      </c>
      <c r="D103" s="124">
        <v>82</v>
      </c>
      <c r="E103" s="124" t="s">
        <v>53</v>
      </c>
      <c r="F103" s="124">
        <v>1</v>
      </c>
      <c r="G103" s="124">
        <v>2</v>
      </c>
      <c r="H103" s="124">
        <v>2</v>
      </c>
      <c r="I103" s="124">
        <f t="shared" si="23"/>
        <v>4</v>
      </c>
      <c r="J103" s="186">
        <v>68000</v>
      </c>
      <c r="K103" s="186">
        <f t="shared" si="20"/>
        <v>272000</v>
      </c>
      <c r="L103" s="186">
        <f t="shared" si="21"/>
        <v>3264000</v>
      </c>
      <c r="M103" s="186">
        <v>69000</v>
      </c>
      <c r="N103" s="186"/>
      <c r="O103" s="186">
        <f t="shared" si="24"/>
        <v>3264000</v>
      </c>
      <c r="P103" s="27"/>
    </row>
    <row r="104" spans="1:17" s="8" customFormat="1" ht="15" x14ac:dyDescent="0.25">
      <c r="A104" s="6">
        <v>11</v>
      </c>
      <c r="B104" s="184" t="s">
        <v>245</v>
      </c>
      <c r="C104" s="184" t="s">
        <v>253</v>
      </c>
      <c r="D104" s="124">
        <v>83</v>
      </c>
      <c r="E104" s="124" t="s">
        <v>53</v>
      </c>
      <c r="F104" s="124">
        <v>1</v>
      </c>
      <c r="G104" s="124">
        <v>2</v>
      </c>
      <c r="H104" s="124">
        <v>2</v>
      </c>
      <c r="I104" s="124">
        <v>4</v>
      </c>
      <c r="J104" s="186">
        <v>68000</v>
      </c>
      <c r="K104" s="186">
        <f t="shared" si="20"/>
        <v>272000</v>
      </c>
      <c r="L104" s="186">
        <f>K104*12</f>
        <v>3264000</v>
      </c>
      <c r="M104" s="186">
        <v>69000</v>
      </c>
      <c r="N104" s="186">
        <f>M104*12</f>
        <v>828000</v>
      </c>
      <c r="O104" s="186">
        <f t="shared" si="24"/>
        <v>4092000</v>
      </c>
      <c r="P104" s="27"/>
    </row>
    <row r="105" spans="1:17" s="53" customFormat="1" ht="15" x14ac:dyDescent="0.25">
      <c r="A105" s="6">
        <v>12</v>
      </c>
      <c r="B105" s="195" t="s">
        <v>242</v>
      </c>
      <c r="C105" s="184" t="s">
        <v>251</v>
      </c>
      <c r="D105" s="124">
        <v>84</v>
      </c>
      <c r="E105" s="124" t="s">
        <v>53</v>
      </c>
      <c r="F105" s="124">
        <v>2</v>
      </c>
      <c r="G105" s="124">
        <v>4</v>
      </c>
      <c r="H105" s="124">
        <v>2</v>
      </c>
      <c r="I105" s="124">
        <f>G105*H105</f>
        <v>8</v>
      </c>
      <c r="J105" s="186">
        <v>68000</v>
      </c>
      <c r="K105" s="186">
        <f>I105*J105</f>
        <v>544000</v>
      </c>
      <c r="L105" s="186">
        <f>K105*12</f>
        <v>6528000</v>
      </c>
      <c r="M105" s="186">
        <v>69000</v>
      </c>
      <c r="N105" s="186">
        <v>828000</v>
      </c>
      <c r="O105" s="186">
        <f>L105+N105</f>
        <v>7356000</v>
      </c>
      <c r="P105" s="27"/>
    </row>
    <row r="106" spans="1:17" s="53" customFormat="1" ht="45" x14ac:dyDescent="0.25">
      <c r="A106" s="6">
        <v>13</v>
      </c>
      <c r="B106" s="195" t="s">
        <v>411</v>
      </c>
      <c r="C106" s="184" t="s">
        <v>412</v>
      </c>
      <c r="D106" s="124">
        <v>85</v>
      </c>
      <c r="E106" s="124" t="s">
        <v>53</v>
      </c>
      <c r="F106" s="124">
        <v>1</v>
      </c>
      <c r="G106" s="124">
        <v>2</v>
      </c>
      <c r="H106" s="124">
        <v>2</v>
      </c>
      <c r="I106" s="124">
        <f t="shared" si="23"/>
        <v>4</v>
      </c>
      <c r="J106" s="186">
        <v>68000</v>
      </c>
      <c r="K106" s="186">
        <f t="shared" si="20"/>
        <v>272000</v>
      </c>
      <c r="L106" s="186">
        <f t="shared" si="21"/>
        <v>3264000</v>
      </c>
      <c r="M106" s="186">
        <v>69000</v>
      </c>
      <c r="N106" s="186">
        <f t="shared" si="22"/>
        <v>828000</v>
      </c>
      <c r="O106" s="186">
        <f t="shared" si="24"/>
        <v>4092000</v>
      </c>
      <c r="P106" s="55"/>
    </row>
    <row r="107" spans="1:17" s="8" customFormat="1" ht="15" x14ac:dyDescent="0.25">
      <c r="A107" s="6">
        <v>14</v>
      </c>
      <c r="B107" s="198" t="s">
        <v>450</v>
      </c>
      <c r="C107" s="124" t="s">
        <v>329</v>
      </c>
      <c r="D107" s="124">
        <v>86</v>
      </c>
      <c r="E107" s="124" t="s">
        <v>330</v>
      </c>
      <c r="F107" s="124">
        <v>1</v>
      </c>
      <c r="G107" s="124">
        <v>2</v>
      </c>
      <c r="H107" s="124">
        <v>2</v>
      </c>
      <c r="I107" s="124">
        <v>4</v>
      </c>
      <c r="J107" s="186">
        <v>68000</v>
      </c>
      <c r="K107" s="186">
        <f>J107*I107</f>
        <v>272000</v>
      </c>
      <c r="L107" s="186">
        <f>K107*12</f>
        <v>3264000</v>
      </c>
      <c r="M107" s="186">
        <v>69000</v>
      </c>
      <c r="N107" s="186">
        <f>M107*12</f>
        <v>828000</v>
      </c>
      <c r="O107" s="186">
        <f>L107+N107</f>
        <v>4092000</v>
      </c>
      <c r="P107" s="27"/>
    </row>
    <row r="108" spans="1:17" s="8" customFormat="1" ht="15" x14ac:dyDescent="0.25">
      <c r="A108" s="95"/>
      <c r="B108" s="109"/>
      <c r="C108" s="96"/>
      <c r="D108" s="97"/>
      <c r="E108" s="97"/>
      <c r="F108" s="97">
        <f>SUM(F94:F107)</f>
        <v>17</v>
      </c>
      <c r="G108" s="97"/>
      <c r="H108" s="97"/>
      <c r="I108" s="97"/>
      <c r="J108" s="107"/>
      <c r="K108" s="107">
        <f>SUM(K94:K107)</f>
        <v>4624000</v>
      </c>
      <c r="L108" s="17">
        <f>SUM(L94:L107)</f>
        <v>55488000</v>
      </c>
      <c r="M108" s="107"/>
      <c r="N108" s="17">
        <f>SUM(N94:N107)</f>
        <v>10764000</v>
      </c>
      <c r="O108" s="17">
        <f>SUM(O94:O107)</f>
        <v>66252000</v>
      </c>
      <c r="P108" s="17"/>
    </row>
    <row r="109" spans="1:17" s="11" customFormat="1" ht="15" x14ac:dyDescent="0.25">
      <c r="A109" s="271" t="s">
        <v>311</v>
      </c>
      <c r="B109" s="272"/>
      <c r="C109" s="272"/>
      <c r="D109" s="272"/>
      <c r="E109" s="272"/>
      <c r="F109" s="272"/>
      <c r="G109" s="272"/>
      <c r="H109" s="272"/>
      <c r="I109" s="272"/>
      <c r="J109" s="272"/>
      <c r="K109" s="272"/>
      <c r="L109" s="272"/>
      <c r="M109" s="272"/>
      <c r="N109" s="272"/>
      <c r="O109" s="272"/>
      <c r="P109" s="273"/>
    </row>
    <row r="110" spans="1:17" s="12" customFormat="1" ht="30" x14ac:dyDescent="0.25">
      <c r="A110" s="6">
        <v>1</v>
      </c>
      <c r="B110" s="192" t="s">
        <v>321</v>
      </c>
      <c r="C110" s="124" t="s">
        <v>152</v>
      </c>
      <c r="D110" s="124">
        <v>87</v>
      </c>
      <c r="E110" s="124" t="s">
        <v>54</v>
      </c>
      <c r="F110" s="124">
        <v>1</v>
      </c>
      <c r="G110" s="124">
        <v>2</v>
      </c>
      <c r="H110" s="124">
        <v>1.5</v>
      </c>
      <c r="I110" s="124">
        <f t="shared" ref="I110:I116" si="25">G110*H110</f>
        <v>3</v>
      </c>
      <c r="J110" s="186">
        <v>50000</v>
      </c>
      <c r="K110" s="186">
        <f t="shared" ref="K110:K115" si="26">I110*J110</f>
        <v>150000</v>
      </c>
      <c r="L110" s="186">
        <f t="shared" ref="L110:L115" si="27">K110*12</f>
        <v>1800000</v>
      </c>
      <c r="M110" s="186">
        <v>69000</v>
      </c>
      <c r="N110" s="186">
        <f t="shared" ref="N110:N116" si="28">M110*12</f>
        <v>828000</v>
      </c>
      <c r="O110" s="186">
        <f t="shared" ref="O110:O115" si="29">L110+N110</f>
        <v>2628000</v>
      </c>
      <c r="P110" s="14"/>
    </row>
    <row r="111" spans="1:17" s="12" customFormat="1" ht="30" x14ac:dyDescent="0.25">
      <c r="A111" s="6">
        <v>2</v>
      </c>
      <c r="B111" s="193" t="s">
        <v>55</v>
      </c>
      <c r="C111" s="124" t="s">
        <v>223</v>
      </c>
      <c r="D111" s="124">
        <v>88</v>
      </c>
      <c r="E111" s="124" t="s">
        <v>15</v>
      </c>
      <c r="F111" s="124">
        <v>1</v>
      </c>
      <c r="G111" s="124">
        <v>2</v>
      </c>
      <c r="H111" s="124">
        <v>1.5</v>
      </c>
      <c r="I111" s="124">
        <f t="shared" si="25"/>
        <v>3</v>
      </c>
      <c r="J111" s="186">
        <v>50000</v>
      </c>
      <c r="K111" s="186">
        <f t="shared" si="26"/>
        <v>150000</v>
      </c>
      <c r="L111" s="186">
        <f t="shared" si="27"/>
        <v>1800000</v>
      </c>
      <c r="M111" s="186">
        <v>69000</v>
      </c>
      <c r="N111" s="186">
        <f t="shared" si="28"/>
        <v>828000</v>
      </c>
      <c r="O111" s="186">
        <f t="shared" si="29"/>
        <v>2628000</v>
      </c>
      <c r="P111" s="172"/>
    </row>
    <row r="112" spans="1:17" s="12" customFormat="1" ht="30" x14ac:dyDescent="0.25">
      <c r="A112" s="6">
        <v>3</v>
      </c>
      <c r="B112" s="192" t="s">
        <v>56</v>
      </c>
      <c r="C112" s="124" t="s">
        <v>186</v>
      </c>
      <c r="D112" s="124">
        <v>89</v>
      </c>
      <c r="E112" s="124" t="s">
        <v>57</v>
      </c>
      <c r="F112" s="124">
        <v>1</v>
      </c>
      <c r="G112" s="124">
        <v>2</v>
      </c>
      <c r="H112" s="124">
        <v>1.5</v>
      </c>
      <c r="I112" s="124">
        <f t="shared" si="25"/>
        <v>3</v>
      </c>
      <c r="J112" s="186">
        <v>50000</v>
      </c>
      <c r="K112" s="186">
        <f t="shared" si="26"/>
        <v>150000</v>
      </c>
      <c r="L112" s="186">
        <f t="shared" si="27"/>
        <v>1800000</v>
      </c>
      <c r="M112" s="186">
        <v>69000</v>
      </c>
      <c r="N112" s="186">
        <f t="shared" si="28"/>
        <v>828000</v>
      </c>
      <c r="O112" s="186">
        <f t="shared" si="29"/>
        <v>2628000</v>
      </c>
      <c r="P112" s="14"/>
    </row>
    <row r="113" spans="1:16" s="12" customFormat="1" ht="30" x14ac:dyDescent="0.25">
      <c r="A113" s="6">
        <v>4</v>
      </c>
      <c r="B113" s="193" t="s">
        <v>327</v>
      </c>
      <c r="C113" s="124" t="s">
        <v>228</v>
      </c>
      <c r="D113" s="124">
        <v>90</v>
      </c>
      <c r="E113" s="124" t="s">
        <v>58</v>
      </c>
      <c r="F113" s="124">
        <v>2</v>
      </c>
      <c r="G113" s="124">
        <v>4</v>
      </c>
      <c r="H113" s="124">
        <v>1.5</v>
      </c>
      <c r="I113" s="124">
        <f t="shared" si="25"/>
        <v>6</v>
      </c>
      <c r="J113" s="186">
        <v>50000</v>
      </c>
      <c r="K113" s="186">
        <f t="shared" si="26"/>
        <v>300000</v>
      </c>
      <c r="L113" s="186">
        <f>K113*12</f>
        <v>3600000</v>
      </c>
      <c r="M113" s="186"/>
      <c r="N113" s="186"/>
      <c r="O113" s="186">
        <f t="shared" si="29"/>
        <v>3600000</v>
      </c>
      <c r="P113" s="14"/>
    </row>
    <row r="114" spans="1:16" s="12" customFormat="1" ht="30" x14ac:dyDescent="0.25">
      <c r="A114" s="6">
        <v>5</v>
      </c>
      <c r="B114" s="192" t="s">
        <v>238</v>
      </c>
      <c r="C114" s="124" t="s">
        <v>224</v>
      </c>
      <c r="D114" s="124">
        <v>91</v>
      </c>
      <c r="E114" s="124" t="s">
        <v>57</v>
      </c>
      <c r="F114" s="124">
        <v>1</v>
      </c>
      <c r="G114" s="124">
        <v>2</v>
      </c>
      <c r="H114" s="124">
        <v>1.5</v>
      </c>
      <c r="I114" s="124">
        <f t="shared" si="25"/>
        <v>3</v>
      </c>
      <c r="J114" s="186">
        <v>50000</v>
      </c>
      <c r="K114" s="186">
        <f t="shared" si="26"/>
        <v>150000</v>
      </c>
      <c r="L114" s="186">
        <f t="shared" si="27"/>
        <v>1800000</v>
      </c>
      <c r="M114" s="186">
        <v>69000</v>
      </c>
      <c r="N114" s="186">
        <f t="shared" si="28"/>
        <v>828000</v>
      </c>
      <c r="O114" s="186">
        <f t="shared" si="29"/>
        <v>2628000</v>
      </c>
      <c r="P114" s="14"/>
    </row>
    <row r="115" spans="1:16" s="12" customFormat="1" ht="30" x14ac:dyDescent="0.25">
      <c r="A115" s="6">
        <v>6</v>
      </c>
      <c r="B115" s="193" t="s">
        <v>327</v>
      </c>
      <c r="C115" s="124" t="s">
        <v>228</v>
      </c>
      <c r="D115" s="124">
        <v>92</v>
      </c>
      <c r="E115" s="124" t="s">
        <v>57</v>
      </c>
      <c r="F115" s="124">
        <v>1</v>
      </c>
      <c r="G115" s="124">
        <v>2</v>
      </c>
      <c r="H115" s="124">
        <v>1.5</v>
      </c>
      <c r="I115" s="124">
        <f t="shared" si="25"/>
        <v>3</v>
      </c>
      <c r="J115" s="186">
        <v>50000</v>
      </c>
      <c r="K115" s="186">
        <f t="shared" si="26"/>
        <v>150000</v>
      </c>
      <c r="L115" s="186">
        <f t="shared" si="27"/>
        <v>1800000</v>
      </c>
      <c r="M115" s="186">
        <v>69000</v>
      </c>
      <c r="N115" s="186">
        <f t="shared" si="28"/>
        <v>828000</v>
      </c>
      <c r="O115" s="186">
        <f t="shared" si="29"/>
        <v>2628000</v>
      </c>
      <c r="P115" s="14"/>
    </row>
    <row r="116" spans="1:16" s="19" customFormat="1" ht="15" x14ac:dyDescent="0.25">
      <c r="A116" s="6">
        <v>7</v>
      </c>
      <c r="B116" s="193" t="s">
        <v>254</v>
      </c>
      <c r="C116" s="188" t="s">
        <v>272</v>
      </c>
      <c r="D116" s="124">
        <v>93</v>
      </c>
      <c r="E116" s="124" t="s">
        <v>255</v>
      </c>
      <c r="F116" s="124">
        <v>1</v>
      </c>
      <c r="G116" s="124">
        <v>2</v>
      </c>
      <c r="H116" s="124">
        <v>1.5</v>
      </c>
      <c r="I116" s="124">
        <f t="shared" si="25"/>
        <v>3</v>
      </c>
      <c r="J116" s="186">
        <v>50000</v>
      </c>
      <c r="K116" s="186">
        <f>I116*J116</f>
        <v>150000</v>
      </c>
      <c r="L116" s="186">
        <f>K116*12</f>
        <v>1800000</v>
      </c>
      <c r="M116" s="186">
        <v>69000</v>
      </c>
      <c r="N116" s="186">
        <f t="shared" si="28"/>
        <v>828000</v>
      </c>
      <c r="O116" s="194">
        <f>L116+N116</f>
        <v>2628000</v>
      </c>
      <c r="P116" s="16"/>
    </row>
    <row r="117" spans="1:16" s="19" customFormat="1" ht="15" x14ac:dyDescent="0.25">
      <c r="A117" s="95"/>
      <c r="B117" s="106"/>
      <c r="C117" s="97"/>
      <c r="D117" s="97"/>
      <c r="E117" s="97"/>
      <c r="F117" s="97">
        <f>SUM(F110:F116)</f>
        <v>8</v>
      </c>
      <c r="G117" s="97"/>
      <c r="H117" s="97"/>
      <c r="I117" s="97"/>
      <c r="J117" s="107"/>
      <c r="K117" s="107"/>
      <c r="L117" s="17">
        <f>SUM(L110:L116)</f>
        <v>14400000</v>
      </c>
      <c r="M117" s="107"/>
      <c r="N117" s="17">
        <f>SUM(N110:N116)</f>
        <v>4968000</v>
      </c>
      <c r="O117" s="17">
        <f>SUM(O110:O116)</f>
        <v>19368000</v>
      </c>
      <c r="P117" s="16"/>
    </row>
    <row r="118" spans="1:16" s="11" customFormat="1" ht="15" x14ac:dyDescent="0.25">
      <c r="A118" s="271" t="s">
        <v>312</v>
      </c>
      <c r="B118" s="272"/>
      <c r="C118" s="272"/>
      <c r="D118" s="272"/>
      <c r="E118" s="272"/>
      <c r="F118" s="272"/>
      <c r="G118" s="272"/>
      <c r="H118" s="272"/>
      <c r="I118" s="272"/>
      <c r="J118" s="272"/>
      <c r="K118" s="272"/>
      <c r="L118" s="272"/>
      <c r="M118" s="272"/>
      <c r="N118" s="272"/>
      <c r="O118" s="272"/>
      <c r="P118" s="273"/>
    </row>
    <row r="119" spans="1:16" s="12" customFormat="1" ht="30" x14ac:dyDescent="0.25">
      <c r="A119" s="6">
        <v>1</v>
      </c>
      <c r="B119" s="192" t="s">
        <v>107</v>
      </c>
      <c r="C119" s="124" t="s">
        <v>110</v>
      </c>
      <c r="D119" s="124">
        <v>94</v>
      </c>
      <c r="E119" s="124" t="s">
        <v>59</v>
      </c>
      <c r="F119" s="124">
        <v>1</v>
      </c>
      <c r="G119" s="124">
        <v>2</v>
      </c>
      <c r="H119" s="124">
        <v>1.9</v>
      </c>
      <c r="I119" s="124">
        <f>G119*H119</f>
        <v>3.8</v>
      </c>
      <c r="J119" s="186">
        <v>50000</v>
      </c>
      <c r="K119" s="186">
        <f>I119*J119</f>
        <v>190000</v>
      </c>
      <c r="L119" s="186">
        <f>K119*12</f>
        <v>2280000</v>
      </c>
      <c r="M119" s="186">
        <v>69000</v>
      </c>
      <c r="N119" s="186">
        <f>M119*12</f>
        <v>828000</v>
      </c>
      <c r="O119" s="186">
        <f>L119+N119</f>
        <v>3108000</v>
      </c>
      <c r="P119" s="14"/>
    </row>
    <row r="120" spans="1:16" s="22" customFormat="1" ht="30" x14ac:dyDescent="0.25">
      <c r="A120" s="6">
        <v>2</v>
      </c>
      <c r="B120" s="192" t="s">
        <v>60</v>
      </c>
      <c r="C120" s="124" t="s">
        <v>112</v>
      </c>
      <c r="D120" s="124">
        <v>95</v>
      </c>
      <c r="E120" s="124" t="s">
        <v>91</v>
      </c>
      <c r="F120" s="124">
        <v>3</v>
      </c>
      <c r="G120" s="124">
        <v>6</v>
      </c>
      <c r="H120" s="124">
        <v>1.9</v>
      </c>
      <c r="I120" s="124">
        <f t="shared" ref="I120:I133" si="30">G120*H120</f>
        <v>11.399999999999999</v>
      </c>
      <c r="J120" s="186">
        <v>50000</v>
      </c>
      <c r="K120" s="186">
        <f>I120*J120</f>
        <v>569999.99999999988</v>
      </c>
      <c r="L120" s="186">
        <f>K120*12</f>
        <v>6839999.9999999981</v>
      </c>
      <c r="M120" s="186">
        <v>69000</v>
      </c>
      <c r="N120" s="186">
        <f t="shared" ref="N120:N124" si="31">M120*12</f>
        <v>828000</v>
      </c>
      <c r="O120" s="186">
        <f t="shared" ref="O120:O128" si="32">L120+N120</f>
        <v>7667999.9999999981</v>
      </c>
      <c r="P120" s="14"/>
    </row>
    <row r="121" spans="1:16" s="63" customFormat="1" ht="30" x14ac:dyDescent="0.25">
      <c r="A121" s="6">
        <v>3</v>
      </c>
      <c r="B121" s="199" t="s">
        <v>61</v>
      </c>
      <c r="C121" s="200" t="s">
        <v>113</v>
      </c>
      <c r="D121" s="124">
        <v>96</v>
      </c>
      <c r="E121" s="200" t="s">
        <v>59</v>
      </c>
      <c r="F121" s="200">
        <v>1</v>
      </c>
      <c r="G121" s="200">
        <v>2</v>
      </c>
      <c r="H121" s="200">
        <v>1.9</v>
      </c>
      <c r="I121" s="200">
        <f t="shared" si="30"/>
        <v>3.8</v>
      </c>
      <c r="J121" s="201">
        <v>50000</v>
      </c>
      <c r="K121" s="201">
        <f t="shared" ref="K121:K133" si="33">I121*J121</f>
        <v>190000</v>
      </c>
      <c r="L121" s="201">
        <f t="shared" ref="L121:L135" si="34">K121*12</f>
        <v>2280000</v>
      </c>
      <c r="M121" s="201">
        <v>69000</v>
      </c>
      <c r="N121" s="201">
        <f t="shared" si="31"/>
        <v>828000</v>
      </c>
      <c r="O121" s="201">
        <f t="shared" si="32"/>
        <v>3108000</v>
      </c>
      <c r="P121" s="62"/>
    </row>
    <row r="122" spans="1:16" s="12" customFormat="1" ht="30" x14ac:dyDescent="0.25">
      <c r="A122" s="6">
        <v>4</v>
      </c>
      <c r="B122" s="193" t="s">
        <v>426</v>
      </c>
      <c r="C122" s="124" t="s">
        <v>427</v>
      </c>
      <c r="D122" s="124">
        <v>97</v>
      </c>
      <c r="E122" s="124" t="s">
        <v>15</v>
      </c>
      <c r="F122" s="124">
        <v>1</v>
      </c>
      <c r="G122" s="124">
        <v>2</v>
      </c>
      <c r="H122" s="124">
        <v>1.9</v>
      </c>
      <c r="I122" s="124">
        <f t="shared" si="30"/>
        <v>3.8</v>
      </c>
      <c r="J122" s="186">
        <v>50000</v>
      </c>
      <c r="K122" s="186">
        <f t="shared" si="33"/>
        <v>190000</v>
      </c>
      <c r="L122" s="186">
        <f t="shared" si="34"/>
        <v>2280000</v>
      </c>
      <c r="M122" s="186"/>
      <c r="N122" s="186"/>
      <c r="O122" s="186">
        <f>L122</f>
        <v>2280000</v>
      </c>
      <c r="P122" s="14"/>
    </row>
    <row r="123" spans="1:16" s="12" customFormat="1" ht="30" x14ac:dyDescent="0.25">
      <c r="A123" s="6">
        <v>5</v>
      </c>
      <c r="B123" s="193" t="s">
        <v>219</v>
      </c>
      <c r="C123" s="124" t="s">
        <v>332</v>
      </c>
      <c r="D123" s="124">
        <v>98</v>
      </c>
      <c r="E123" s="124" t="s">
        <v>256</v>
      </c>
      <c r="F123" s="124">
        <v>1</v>
      </c>
      <c r="G123" s="124">
        <v>2</v>
      </c>
      <c r="H123" s="124">
        <v>1.9</v>
      </c>
      <c r="I123" s="124">
        <f t="shared" si="30"/>
        <v>3.8</v>
      </c>
      <c r="J123" s="186">
        <v>50000</v>
      </c>
      <c r="K123" s="186">
        <f t="shared" si="33"/>
        <v>190000</v>
      </c>
      <c r="L123" s="186">
        <f t="shared" si="34"/>
        <v>2280000</v>
      </c>
      <c r="M123" s="186">
        <v>69000</v>
      </c>
      <c r="N123" s="186">
        <f t="shared" si="31"/>
        <v>828000</v>
      </c>
      <c r="O123" s="186">
        <f t="shared" si="32"/>
        <v>3108000</v>
      </c>
      <c r="P123" s="14"/>
    </row>
    <row r="124" spans="1:16" s="12" customFormat="1" ht="30" x14ac:dyDescent="0.25">
      <c r="A124" s="6">
        <v>6</v>
      </c>
      <c r="B124" s="193" t="s">
        <v>451</v>
      </c>
      <c r="C124" s="124" t="s">
        <v>329</v>
      </c>
      <c r="D124" s="124">
        <v>99</v>
      </c>
      <c r="E124" s="124" t="s">
        <v>63</v>
      </c>
      <c r="F124" s="124">
        <v>1</v>
      </c>
      <c r="G124" s="124">
        <v>2</v>
      </c>
      <c r="H124" s="124">
        <v>1.9</v>
      </c>
      <c r="I124" s="124">
        <f t="shared" si="30"/>
        <v>3.8</v>
      </c>
      <c r="J124" s="186">
        <v>50000</v>
      </c>
      <c r="K124" s="186">
        <f t="shared" si="33"/>
        <v>190000</v>
      </c>
      <c r="L124" s="186">
        <f t="shared" si="34"/>
        <v>2280000</v>
      </c>
      <c r="M124" s="186">
        <v>69000</v>
      </c>
      <c r="N124" s="186">
        <f t="shared" si="31"/>
        <v>828000</v>
      </c>
      <c r="O124" s="186">
        <f t="shared" si="32"/>
        <v>3108000</v>
      </c>
      <c r="P124" s="14"/>
    </row>
    <row r="125" spans="1:16" s="12" customFormat="1" ht="30" x14ac:dyDescent="0.25">
      <c r="A125" s="6">
        <v>7</v>
      </c>
      <c r="B125" s="193" t="s">
        <v>208</v>
      </c>
      <c r="C125" s="124" t="s">
        <v>209</v>
      </c>
      <c r="D125" s="124">
        <v>100</v>
      </c>
      <c r="E125" s="124" t="s">
        <v>15</v>
      </c>
      <c r="F125" s="124">
        <v>1</v>
      </c>
      <c r="G125" s="124">
        <v>2</v>
      </c>
      <c r="H125" s="124">
        <v>1.9</v>
      </c>
      <c r="I125" s="124">
        <f t="shared" si="30"/>
        <v>3.8</v>
      </c>
      <c r="J125" s="186">
        <v>50000</v>
      </c>
      <c r="K125" s="186">
        <f t="shared" si="33"/>
        <v>190000</v>
      </c>
      <c r="L125" s="186">
        <f t="shared" si="34"/>
        <v>2280000</v>
      </c>
      <c r="M125" s="186"/>
      <c r="N125" s="186"/>
      <c r="O125" s="186">
        <f t="shared" si="32"/>
        <v>2280000</v>
      </c>
      <c r="P125" s="174"/>
    </row>
    <row r="126" spans="1:16" s="12" customFormat="1" ht="15" x14ac:dyDescent="0.25">
      <c r="A126" s="6">
        <v>8</v>
      </c>
      <c r="B126" s="192" t="s">
        <v>270</v>
      </c>
      <c r="C126" s="124" t="s">
        <v>235</v>
      </c>
      <c r="D126" s="124">
        <v>101</v>
      </c>
      <c r="E126" s="124" t="s">
        <v>58</v>
      </c>
      <c r="F126" s="124">
        <v>1</v>
      </c>
      <c r="G126" s="124">
        <v>2</v>
      </c>
      <c r="H126" s="124">
        <v>1.9</v>
      </c>
      <c r="I126" s="124">
        <f t="shared" si="30"/>
        <v>3.8</v>
      </c>
      <c r="J126" s="186">
        <v>50000</v>
      </c>
      <c r="K126" s="186">
        <f t="shared" si="33"/>
        <v>190000</v>
      </c>
      <c r="L126" s="186">
        <f t="shared" si="34"/>
        <v>2280000</v>
      </c>
      <c r="M126" s="186">
        <v>69000</v>
      </c>
      <c r="N126" s="186">
        <f>M126*12</f>
        <v>828000</v>
      </c>
      <c r="O126" s="186">
        <f t="shared" si="32"/>
        <v>3108000</v>
      </c>
      <c r="P126" s="14"/>
    </row>
    <row r="127" spans="1:16" s="12" customFormat="1" ht="15" x14ac:dyDescent="0.25">
      <c r="A127" s="6">
        <v>9</v>
      </c>
      <c r="B127" s="193" t="s">
        <v>64</v>
      </c>
      <c r="C127" s="124" t="s">
        <v>234</v>
      </c>
      <c r="D127" s="124">
        <v>102</v>
      </c>
      <c r="E127" s="124" t="s">
        <v>58</v>
      </c>
      <c r="F127" s="124">
        <v>1</v>
      </c>
      <c r="G127" s="124">
        <v>2</v>
      </c>
      <c r="H127" s="124">
        <v>1.9</v>
      </c>
      <c r="I127" s="124">
        <f t="shared" si="30"/>
        <v>3.8</v>
      </c>
      <c r="J127" s="186">
        <v>50000</v>
      </c>
      <c r="K127" s="186">
        <f t="shared" si="33"/>
        <v>190000</v>
      </c>
      <c r="L127" s="186">
        <f t="shared" si="34"/>
        <v>2280000</v>
      </c>
      <c r="M127" s="186">
        <v>69000</v>
      </c>
      <c r="N127" s="186">
        <f>M127*12</f>
        <v>828000</v>
      </c>
      <c r="O127" s="186">
        <f t="shared" si="32"/>
        <v>3108000</v>
      </c>
      <c r="P127" s="14"/>
    </row>
    <row r="128" spans="1:16" s="51" customFormat="1" ht="15" x14ac:dyDescent="0.25">
      <c r="A128" s="6">
        <v>10</v>
      </c>
      <c r="B128" s="192" t="s">
        <v>300</v>
      </c>
      <c r="C128" s="184" t="s">
        <v>279</v>
      </c>
      <c r="D128" s="124">
        <v>103</v>
      </c>
      <c r="E128" s="124" t="s">
        <v>58</v>
      </c>
      <c r="F128" s="124">
        <v>1</v>
      </c>
      <c r="G128" s="124">
        <v>2</v>
      </c>
      <c r="H128" s="124">
        <v>1.9</v>
      </c>
      <c r="I128" s="124">
        <f t="shared" si="30"/>
        <v>3.8</v>
      </c>
      <c r="J128" s="186">
        <v>50000</v>
      </c>
      <c r="K128" s="186">
        <f t="shared" si="33"/>
        <v>190000</v>
      </c>
      <c r="L128" s="186">
        <f t="shared" si="34"/>
        <v>2280000</v>
      </c>
      <c r="M128" s="186">
        <v>69000</v>
      </c>
      <c r="N128" s="186">
        <f>M128*12</f>
        <v>828000</v>
      </c>
      <c r="O128" s="186">
        <f t="shared" si="32"/>
        <v>3108000</v>
      </c>
      <c r="P128" s="45"/>
    </row>
    <row r="129" spans="1:16" s="12" customFormat="1" ht="30" x14ac:dyDescent="0.25">
      <c r="A129" s="6">
        <v>11</v>
      </c>
      <c r="B129" s="193" t="s">
        <v>324</v>
      </c>
      <c r="C129" s="124" t="s">
        <v>326</v>
      </c>
      <c r="D129" s="124">
        <v>104</v>
      </c>
      <c r="E129" s="124" t="s">
        <v>106</v>
      </c>
      <c r="F129" s="124">
        <v>1</v>
      </c>
      <c r="G129" s="124">
        <v>2</v>
      </c>
      <c r="H129" s="124">
        <v>1.9</v>
      </c>
      <c r="I129" s="124">
        <f t="shared" si="30"/>
        <v>3.8</v>
      </c>
      <c r="J129" s="186">
        <v>50000</v>
      </c>
      <c r="K129" s="186">
        <f t="shared" si="33"/>
        <v>190000</v>
      </c>
      <c r="L129" s="186">
        <f t="shared" si="34"/>
        <v>2280000</v>
      </c>
      <c r="M129" s="186"/>
      <c r="N129" s="186"/>
      <c r="O129" s="186">
        <f>L129+N129</f>
        <v>2280000</v>
      </c>
      <c r="P129" s="14"/>
    </row>
    <row r="130" spans="1:16" s="12" customFormat="1" ht="30" x14ac:dyDescent="0.25">
      <c r="A130" s="6">
        <v>12</v>
      </c>
      <c r="B130" s="193" t="s">
        <v>413</v>
      </c>
      <c r="C130" s="124" t="s">
        <v>414</v>
      </c>
      <c r="D130" s="124">
        <v>105</v>
      </c>
      <c r="E130" s="124" t="s">
        <v>62</v>
      </c>
      <c r="F130" s="124">
        <v>1</v>
      </c>
      <c r="G130" s="124">
        <v>2</v>
      </c>
      <c r="H130" s="124">
        <v>1.9</v>
      </c>
      <c r="I130" s="124">
        <f t="shared" si="30"/>
        <v>3.8</v>
      </c>
      <c r="J130" s="186">
        <v>50000</v>
      </c>
      <c r="K130" s="186">
        <f t="shared" si="33"/>
        <v>190000</v>
      </c>
      <c r="L130" s="186">
        <f t="shared" si="34"/>
        <v>2280000</v>
      </c>
      <c r="M130" s="186">
        <v>69000</v>
      </c>
      <c r="N130" s="186">
        <f>M130*12</f>
        <v>828000</v>
      </c>
      <c r="O130" s="186">
        <f>L130+N130</f>
        <v>3108000</v>
      </c>
      <c r="P130" s="14"/>
    </row>
    <row r="131" spans="1:16" s="12" customFormat="1" ht="15" x14ac:dyDescent="0.25">
      <c r="A131" s="6">
        <v>13</v>
      </c>
      <c r="B131" s="192" t="s">
        <v>435</v>
      </c>
      <c r="C131" s="124" t="s">
        <v>229</v>
      </c>
      <c r="D131" s="124">
        <v>106</v>
      </c>
      <c r="E131" s="124" t="s">
        <v>58</v>
      </c>
      <c r="F131" s="124">
        <v>1</v>
      </c>
      <c r="G131" s="124">
        <v>2</v>
      </c>
      <c r="H131" s="124">
        <v>1.9</v>
      </c>
      <c r="I131" s="124">
        <f t="shared" si="30"/>
        <v>3.8</v>
      </c>
      <c r="J131" s="186">
        <v>50000</v>
      </c>
      <c r="K131" s="186">
        <f t="shared" si="33"/>
        <v>190000</v>
      </c>
      <c r="L131" s="186">
        <f t="shared" si="34"/>
        <v>2280000</v>
      </c>
      <c r="M131" s="186">
        <v>69000</v>
      </c>
      <c r="N131" s="186">
        <f>M131*12</f>
        <v>828000</v>
      </c>
      <c r="O131" s="186">
        <f>L131+N131</f>
        <v>3108000</v>
      </c>
      <c r="P131" s="14"/>
    </row>
    <row r="132" spans="1:16" s="12" customFormat="1" ht="15" x14ac:dyDescent="0.25">
      <c r="A132" s="6">
        <v>14</v>
      </c>
      <c r="B132" s="192" t="s">
        <v>240</v>
      </c>
      <c r="C132" s="124" t="s">
        <v>241</v>
      </c>
      <c r="D132" s="124">
        <v>107</v>
      </c>
      <c r="E132" s="124" t="s">
        <v>58</v>
      </c>
      <c r="F132" s="124">
        <v>2</v>
      </c>
      <c r="G132" s="124">
        <v>2</v>
      </c>
      <c r="H132" s="124">
        <v>3.8</v>
      </c>
      <c r="I132" s="124">
        <f t="shared" si="30"/>
        <v>7.6</v>
      </c>
      <c r="J132" s="186">
        <v>50000</v>
      </c>
      <c r="K132" s="186">
        <f t="shared" si="33"/>
        <v>380000</v>
      </c>
      <c r="L132" s="186">
        <f t="shared" si="34"/>
        <v>4560000</v>
      </c>
      <c r="M132" s="186">
        <v>69000</v>
      </c>
      <c r="N132" s="186">
        <v>828000</v>
      </c>
      <c r="O132" s="186">
        <f>L132+N132</f>
        <v>5388000</v>
      </c>
      <c r="P132" s="14"/>
    </row>
    <row r="133" spans="1:16" s="94" customFormat="1" ht="15" x14ac:dyDescent="0.25">
      <c r="A133" s="73">
        <v>15</v>
      </c>
      <c r="B133" s="192" t="s">
        <v>20</v>
      </c>
      <c r="C133" s="124"/>
      <c r="D133" s="124">
        <v>108</v>
      </c>
      <c r="E133" s="124" t="s">
        <v>289</v>
      </c>
      <c r="F133" s="124">
        <v>1</v>
      </c>
      <c r="G133" s="124">
        <v>2</v>
      </c>
      <c r="H133" s="124">
        <v>1.9</v>
      </c>
      <c r="I133" s="124">
        <f t="shared" si="30"/>
        <v>3.8</v>
      </c>
      <c r="J133" s="186">
        <v>50000</v>
      </c>
      <c r="K133" s="186">
        <f t="shared" si="33"/>
        <v>190000</v>
      </c>
      <c r="L133" s="186">
        <f t="shared" si="34"/>
        <v>2280000</v>
      </c>
      <c r="M133" s="186"/>
      <c r="N133" s="186"/>
      <c r="O133" s="186">
        <v>2280000</v>
      </c>
      <c r="P133" s="175"/>
    </row>
    <row r="134" spans="1:16" s="94" customFormat="1" ht="15" x14ac:dyDescent="0.25">
      <c r="A134" s="73">
        <v>16</v>
      </c>
      <c r="B134" s="193" t="s">
        <v>415</v>
      </c>
      <c r="C134" s="193"/>
      <c r="D134" s="124">
        <v>109</v>
      </c>
      <c r="E134" s="188" t="s">
        <v>58</v>
      </c>
      <c r="F134" s="188">
        <v>1</v>
      </c>
      <c r="G134" s="188">
        <v>2</v>
      </c>
      <c r="H134" s="188">
        <v>1.9</v>
      </c>
      <c r="I134" s="188">
        <f>G134*H134</f>
        <v>3.8</v>
      </c>
      <c r="J134" s="194">
        <v>50000</v>
      </c>
      <c r="K134" s="194">
        <f>J134*I134</f>
        <v>190000</v>
      </c>
      <c r="L134" s="194">
        <f t="shared" si="34"/>
        <v>2280000</v>
      </c>
      <c r="M134" s="194">
        <v>69000</v>
      </c>
      <c r="N134" s="194">
        <f>M134*12</f>
        <v>828000</v>
      </c>
      <c r="O134" s="194">
        <f>L134+N134</f>
        <v>3108000</v>
      </c>
      <c r="P134" s="116"/>
    </row>
    <row r="135" spans="1:16" s="94" customFormat="1" ht="15" x14ac:dyDescent="0.25">
      <c r="A135" s="73">
        <v>17</v>
      </c>
      <c r="B135" s="193" t="s">
        <v>365</v>
      </c>
      <c r="C135" s="124" t="s">
        <v>397</v>
      </c>
      <c r="D135" s="124">
        <v>110</v>
      </c>
      <c r="E135" s="188" t="s">
        <v>78</v>
      </c>
      <c r="F135" s="188">
        <v>1</v>
      </c>
      <c r="G135" s="188">
        <v>2</v>
      </c>
      <c r="H135" s="188">
        <v>1.9</v>
      </c>
      <c r="I135" s="188">
        <f>G135*H135</f>
        <v>3.8</v>
      </c>
      <c r="J135" s="194">
        <v>50000</v>
      </c>
      <c r="K135" s="194">
        <f>J135*I135</f>
        <v>190000</v>
      </c>
      <c r="L135" s="194">
        <f t="shared" si="34"/>
        <v>2280000</v>
      </c>
      <c r="M135" s="194">
        <v>69000</v>
      </c>
      <c r="N135" s="194">
        <f>M135*12</f>
        <v>828000</v>
      </c>
      <c r="O135" s="194">
        <f>L135+N135</f>
        <v>3108000</v>
      </c>
      <c r="P135" s="116"/>
    </row>
    <row r="136" spans="1:16" s="94" customFormat="1" ht="15" x14ac:dyDescent="0.25">
      <c r="A136" s="110"/>
      <c r="B136" s="111"/>
      <c r="C136" s="112"/>
      <c r="D136" s="113"/>
      <c r="E136" s="113"/>
      <c r="F136" s="113">
        <f>SUM(F119:F135)</f>
        <v>20</v>
      </c>
      <c r="G136" s="113"/>
      <c r="H136" s="113"/>
      <c r="I136" s="113"/>
      <c r="J136" s="113"/>
      <c r="K136" s="114">
        <f>SUM(K119:K134)</f>
        <v>3610000</v>
      </c>
      <c r="L136" s="115">
        <f>SUM(L119:L134)</f>
        <v>43320000</v>
      </c>
      <c r="M136" s="114"/>
      <c r="N136" s="115">
        <f>SUM(N119:N135)</f>
        <v>10764000</v>
      </c>
      <c r="O136" s="115">
        <f>SUM(O119:O135)</f>
        <v>56364000</v>
      </c>
      <c r="P136" s="115"/>
    </row>
    <row r="137" spans="1:16" s="11" customFormat="1" ht="15" x14ac:dyDescent="0.25">
      <c r="A137" s="274" t="s">
        <v>313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6"/>
    </row>
    <row r="138" spans="1:16" s="12" customFormat="1" ht="15" x14ac:dyDescent="0.25">
      <c r="A138" s="6">
        <v>1</v>
      </c>
      <c r="B138" s="126" t="s">
        <v>43</v>
      </c>
      <c r="C138" s="6" t="s">
        <v>156</v>
      </c>
      <c r="D138" s="6">
        <v>111</v>
      </c>
      <c r="E138" s="6" t="s">
        <v>65</v>
      </c>
      <c r="F138" s="6">
        <v>1</v>
      </c>
      <c r="G138" s="6">
        <v>2</v>
      </c>
      <c r="H138" s="6">
        <v>1.5</v>
      </c>
      <c r="I138" s="13">
        <f t="shared" ref="I138:I143" si="35">G138*H138</f>
        <v>3</v>
      </c>
      <c r="J138" s="16">
        <v>50000</v>
      </c>
      <c r="K138" s="16">
        <f t="shared" ref="K138:K143" si="36">I138*J138</f>
        <v>150000</v>
      </c>
      <c r="L138" s="16">
        <f t="shared" ref="L138:L143" si="37">K138*12</f>
        <v>1800000</v>
      </c>
      <c r="M138" s="16"/>
      <c r="N138" s="16"/>
      <c r="O138" s="16">
        <f t="shared" ref="O138:O143" si="38">L138+N138</f>
        <v>1800000</v>
      </c>
      <c r="P138" s="14"/>
    </row>
    <row r="139" spans="1:16" s="12" customFormat="1" ht="15" x14ac:dyDescent="0.25">
      <c r="A139" s="6">
        <v>2</v>
      </c>
      <c r="B139" s="126" t="s">
        <v>66</v>
      </c>
      <c r="C139" s="6" t="s">
        <v>232</v>
      </c>
      <c r="D139" s="6">
        <v>112</v>
      </c>
      <c r="E139" s="6" t="s">
        <v>15</v>
      </c>
      <c r="F139" s="6">
        <v>2</v>
      </c>
      <c r="G139" s="6">
        <v>4</v>
      </c>
      <c r="H139" s="6">
        <v>1.5</v>
      </c>
      <c r="I139" s="13">
        <f t="shared" si="35"/>
        <v>6</v>
      </c>
      <c r="J139" s="16">
        <v>50000</v>
      </c>
      <c r="K139" s="16">
        <f t="shared" si="36"/>
        <v>300000</v>
      </c>
      <c r="L139" s="16">
        <f t="shared" si="37"/>
        <v>3600000</v>
      </c>
      <c r="M139" s="16">
        <v>69000</v>
      </c>
      <c r="N139" s="16">
        <f>M139*12</f>
        <v>828000</v>
      </c>
      <c r="O139" s="16">
        <f t="shared" si="38"/>
        <v>4428000</v>
      </c>
      <c r="P139" s="14"/>
    </row>
    <row r="140" spans="1:16" s="12" customFormat="1" ht="30" x14ac:dyDescent="0.25">
      <c r="A140" s="6">
        <v>3</v>
      </c>
      <c r="B140" s="72" t="s">
        <v>67</v>
      </c>
      <c r="C140" s="6" t="s">
        <v>135</v>
      </c>
      <c r="D140" s="6">
        <v>113</v>
      </c>
      <c r="E140" s="6" t="s">
        <v>15</v>
      </c>
      <c r="F140" s="6">
        <v>2</v>
      </c>
      <c r="G140" s="6">
        <v>4</v>
      </c>
      <c r="H140" s="6">
        <v>1.5</v>
      </c>
      <c r="I140" s="13">
        <f t="shared" si="35"/>
        <v>6</v>
      </c>
      <c r="J140" s="16">
        <v>50000</v>
      </c>
      <c r="K140" s="16">
        <f t="shared" si="36"/>
        <v>300000</v>
      </c>
      <c r="L140" s="16">
        <f t="shared" si="37"/>
        <v>3600000</v>
      </c>
      <c r="M140" s="16">
        <v>69000</v>
      </c>
      <c r="N140" s="16">
        <f t="shared" ref="N140:N143" si="39">M140*12</f>
        <v>828000</v>
      </c>
      <c r="O140" s="16">
        <f t="shared" si="38"/>
        <v>4428000</v>
      </c>
      <c r="P140" s="14"/>
    </row>
    <row r="141" spans="1:16" s="12" customFormat="1" ht="30" x14ac:dyDescent="0.25">
      <c r="A141" s="6">
        <v>4</v>
      </c>
      <c r="B141" s="72" t="s">
        <v>68</v>
      </c>
      <c r="C141" s="6" t="s">
        <v>199</v>
      </c>
      <c r="D141" s="6">
        <v>114</v>
      </c>
      <c r="E141" s="6" t="s">
        <v>15</v>
      </c>
      <c r="F141" s="6">
        <v>2</v>
      </c>
      <c r="G141" s="6">
        <v>4</v>
      </c>
      <c r="H141" s="6">
        <v>1.5</v>
      </c>
      <c r="I141" s="13">
        <f t="shared" si="35"/>
        <v>6</v>
      </c>
      <c r="J141" s="16">
        <v>50000</v>
      </c>
      <c r="K141" s="16">
        <f t="shared" si="36"/>
        <v>300000</v>
      </c>
      <c r="L141" s="16">
        <f t="shared" si="37"/>
        <v>3600000</v>
      </c>
      <c r="M141" s="16">
        <v>69000</v>
      </c>
      <c r="N141" s="16">
        <f t="shared" si="39"/>
        <v>828000</v>
      </c>
      <c r="O141" s="16">
        <f t="shared" si="38"/>
        <v>4428000</v>
      </c>
      <c r="P141" s="14"/>
    </row>
    <row r="142" spans="1:16" s="12" customFormat="1" ht="15" x14ac:dyDescent="0.25">
      <c r="A142" s="6">
        <v>5</v>
      </c>
      <c r="B142" s="72" t="s">
        <v>69</v>
      </c>
      <c r="C142" s="6" t="s">
        <v>161</v>
      </c>
      <c r="D142" s="6">
        <v>115</v>
      </c>
      <c r="E142" s="6">
        <v>0</v>
      </c>
      <c r="F142" s="6">
        <v>1</v>
      </c>
      <c r="G142" s="6">
        <v>2</v>
      </c>
      <c r="H142" s="6">
        <v>1.5</v>
      </c>
      <c r="I142" s="13">
        <f t="shared" si="35"/>
        <v>3</v>
      </c>
      <c r="J142" s="16">
        <v>50000</v>
      </c>
      <c r="K142" s="16">
        <f t="shared" si="36"/>
        <v>150000</v>
      </c>
      <c r="L142" s="16">
        <f t="shared" si="37"/>
        <v>1800000</v>
      </c>
      <c r="M142" s="16">
        <v>69000</v>
      </c>
      <c r="N142" s="16">
        <f t="shared" si="39"/>
        <v>828000</v>
      </c>
      <c r="O142" s="16">
        <f t="shared" si="38"/>
        <v>2628000</v>
      </c>
      <c r="P142" s="14"/>
    </row>
    <row r="143" spans="1:16" s="12" customFormat="1" ht="30" x14ac:dyDescent="0.25">
      <c r="A143" s="6">
        <v>6</v>
      </c>
      <c r="B143" s="126" t="s">
        <v>340</v>
      </c>
      <c r="C143" s="6" t="s">
        <v>348</v>
      </c>
      <c r="D143" s="6">
        <v>116</v>
      </c>
      <c r="E143" s="6" t="s">
        <v>49</v>
      </c>
      <c r="F143" s="6">
        <v>1</v>
      </c>
      <c r="G143" s="6">
        <v>2</v>
      </c>
      <c r="H143" s="6">
        <v>1.5</v>
      </c>
      <c r="I143" s="13">
        <f t="shared" si="35"/>
        <v>3</v>
      </c>
      <c r="J143" s="16">
        <v>50000</v>
      </c>
      <c r="K143" s="16">
        <f t="shared" si="36"/>
        <v>150000</v>
      </c>
      <c r="L143" s="16">
        <f t="shared" si="37"/>
        <v>1800000</v>
      </c>
      <c r="M143" s="16">
        <v>69000</v>
      </c>
      <c r="N143" s="16">
        <f t="shared" si="39"/>
        <v>828000</v>
      </c>
      <c r="O143" s="16">
        <f t="shared" si="38"/>
        <v>2628000</v>
      </c>
      <c r="P143" s="26"/>
    </row>
    <row r="144" spans="1:16" s="12" customFormat="1" ht="15" x14ac:dyDescent="0.25">
      <c r="B144" s="72"/>
      <c r="C144" s="6"/>
      <c r="D144" s="6"/>
      <c r="E144" s="6"/>
      <c r="F144" s="6">
        <f>SUM(F138:F143)</f>
        <v>9</v>
      </c>
      <c r="G144" s="6"/>
      <c r="H144" s="6"/>
      <c r="I144" s="13"/>
      <c r="J144" s="16"/>
      <c r="K144" s="16"/>
      <c r="L144" s="17">
        <f>SUM(L138:L143)</f>
        <v>16200000</v>
      </c>
      <c r="M144" s="16"/>
      <c r="N144" s="17">
        <f>SUM(N138:N143)</f>
        <v>4140000</v>
      </c>
      <c r="O144" s="17">
        <f>SUM(O138:O143)</f>
        <v>20340000</v>
      </c>
      <c r="P144" s="26"/>
    </row>
    <row r="145" spans="1:16" s="25" customFormat="1" ht="14.25" x14ac:dyDescent="0.2">
      <c r="B145" s="87" t="s">
        <v>277</v>
      </c>
      <c r="C145" s="34"/>
      <c r="D145" s="34"/>
      <c r="E145" s="34"/>
      <c r="F145" s="34"/>
      <c r="G145" s="34"/>
      <c r="H145" s="34"/>
      <c r="I145" s="71"/>
      <c r="J145" s="17"/>
      <c r="K145" s="17"/>
      <c r="L145" s="17"/>
      <c r="M145" s="17"/>
      <c r="N145" s="17"/>
      <c r="O145" s="17"/>
      <c r="P145" s="79"/>
    </row>
    <row r="146" spans="1:16" s="12" customFormat="1" ht="15" x14ac:dyDescent="0.25">
      <c r="A146" s="6">
        <v>1</v>
      </c>
      <c r="B146" s="126" t="s">
        <v>275</v>
      </c>
      <c r="C146" s="73" t="s">
        <v>188</v>
      </c>
      <c r="D146" s="6">
        <v>117</v>
      </c>
      <c r="E146" s="6" t="s">
        <v>276</v>
      </c>
      <c r="F146" s="6">
        <v>1</v>
      </c>
      <c r="G146" s="6"/>
      <c r="H146" s="6"/>
      <c r="I146" s="13"/>
      <c r="J146" s="16"/>
      <c r="K146" s="16">
        <v>3100000</v>
      </c>
      <c r="L146" s="16">
        <f>K146*12</f>
        <v>37200000</v>
      </c>
      <c r="M146" s="16"/>
      <c r="N146" s="16"/>
      <c r="O146" s="91">
        <f>9300000*4</f>
        <v>37200000</v>
      </c>
      <c r="P146" s="176"/>
    </row>
    <row r="147" spans="1:16" s="12" customFormat="1" ht="30" x14ac:dyDescent="0.25">
      <c r="A147" s="6">
        <v>2</v>
      </c>
      <c r="B147" s="126" t="s">
        <v>400</v>
      </c>
      <c r="C147" s="6" t="s">
        <v>401</v>
      </c>
      <c r="D147" s="6">
        <v>118</v>
      </c>
      <c r="E147" s="6" t="s">
        <v>278</v>
      </c>
      <c r="F147" s="6">
        <v>1</v>
      </c>
      <c r="G147" s="6"/>
      <c r="H147" s="6"/>
      <c r="I147" s="13"/>
      <c r="J147" s="16"/>
      <c r="K147" s="16">
        <v>1500000</v>
      </c>
      <c r="L147" s="16">
        <f>K147*12</f>
        <v>18000000</v>
      </c>
      <c r="M147" s="16"/>
      <c r="N147" s="16"/>
      <c r="O147" s="91">
        <f>1500000*12</f>
        <v>18000000</v>
      </c>
      <c r="P147" s="177"/>
    </row>
    <row r="148" spans="1:16" s="12" customFormat="1" ht="15" x14ac:dyDescent="0.25">
      <c r="A148" s="6"/>
      <c r="B148" s="72"/>
      <c r="C148" s="6"/>
      <c r="D148" s="6"/>
      <c r="E148" s="6"/>
      <c r="F148" s="6">
        <f>SUM(F146:F147)</f>
        <v>2</v>
      </c>
      <c r="G148" s="6"/>
      <c r="H148" s="6"/>
      <c r="I148" s="13"/>
      <c r="J148" s="16"/>
      <c r="K148" s="16"/>
      <c r="L148" s="115">
        <f>SUM(L146:L147)</f>
        <v>55200000</v>
      </c>
      <c r="M148" s="16"/>
      <c r="N148" s="16"/>
      <c r="O148" s="115">
        <f>SUM(O146:O147)</f>
        <v>55200000</v>
      </c>
      <c r="P148" s="115"/>
    </row>
    <row r="149" spans="1:16" s="11" customFormat="1" ht="15" x14ac:dyDescent="0.25">
      <c r="A149" s="4" t="s">
        <v>314</v>
      </c>
      <c r="B149" s="84"/>
      <c r="C149" s="10"/>
      <c r="D149" s="9"/>
      <c r="E149" s="10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32"/>
    </row>
    <row r="150" spans="1:16" s="12" customFormat="1" ht="30" x14ac:dyDescent="0.25">
      <c r="A150" s="6">
        <v>1</v>
      </c>
      <c r="B150" s="193" t="s">
        <v>282</v>
      </c>
      <c r="C150" s="124" t="s">
        <v>225</v>
      </c>
      <c r="D150" s="124">
        <v>119</v>
      </c>
      <c r="E150" s="124" t="s">
        <v>59</v>
      </c>
      <c r="F150" s="124">
        <v>1</v>
      </c>
      <c r="G150" s="124">
        <v>2</v>
      </c>
      <c r="H150" s="124">
        <v>2</v>
      </c>
      <c r="I150" s="124">
        <f>G150*H150</f>
        <v>4</v>
      </c>
      <c r="J150" s="186">
        <v>68000</v>
      </c>
      <c r="K150" s="186">
        <f>I150*J150</f>
        <v>272000</v>
      </c>
      <c r="L150" s="186">
        <f>K150*12</f>
        <v>3264000</v>
      </c>
      <c r="M150" s="194">
        <v>69000</v>
      </c>
      <c r="N150" s="194">
        <f>M150*12</f>
        <v>828000</v>
      </c>
      <c r="O150" s="186">
        <f>L150+N150</f>
        <v>4092000</v>
      </c>
      <c r="P150" s="54"/>
    </row>
    <row r="151" spans="1:16" s="12" customFormat="1" ht="15" x14ac:dyDescent="0.25">
      <c r="A151" s="6">
        <v>2</v>
      </c>
      <c r="B151" s="193" t="s">
        <v>66</v>
      </c>
      <c r="C151" s="124" t="s">
        <v>213</v>
      </c>
      <c r="D151" s="124">
        <v>120</v>
      </c>
      <c r="E151" s="124" t="s">
        <v>59</v>
      </c>
      <c r="F151" s="124">
        <v>1</v>
      </c>
      <c r="G151" s="124">
        <v>2</v>
      </c>
      <c r="H151" s="124">
        <v>2</v>
      </c>
      <c r="I151" s="124">
        <f t="shared" ref="I151:I187" si="40">G151*H151</f>
        <v>4</v>
      </c>
      <c r="J151" s="186">
        <v>68000</v>
      </c>
      <c r="K151" s="186">
        <f t="shared" ref="K151:K188" si="41">I151*J151</f>
        <v>272000</v>
      </c>
      <c r="L151" s="186">
        <f t="shared" ref="L151:L188" si="42">K151*12</f>
        <v>3264000</v>
      </c>
      <c r="M151" s="186">
        <v>69000</v>
      </c>
      <c r="N151" s="186">
        <f t="shared" ref="N151:N190" si="43">M151*12</f>
        <v>828000</v>
      </c>
      <c r="O151" s="186">
        <f t="shared" ref="O151:O188" si="44">L151+N151</f>
        <v>4092000</v>
      </c>
      <c r="P151" s="14"/>
    </row>
    <row r="152" spans="1:16" s="51" customFormat="1" ht="15" x14ac:dyDescent="0.25">
      <c r="A152" s="6">
        <v>3</v>
      </c>
      <c r="B152" s="193" t="s">
        <v>70</v>
      </c>
      <c r="C152" s="184" t="s">
        <v>290</v>
      </c>
      <c r="D152" s="124">
        <v>121</v>
      </c>
      <c r="E152" s="124" t="s">
        <v>59</v>
      </c>
      <c r="F152" s="124">
        <v>1</v>
      </c>
      <c r="G152" s="124">
        <v>2</v>
      </c>
      <c r="H152" s="124">
        <v>2</v>
      </c>
      <c r="I152" s="124">
        <f t="shared" si="40"/>
        <v>4</v>
      </c>
      <c r="J152" s="186">
        <v>68000</v>
      </c>
      <c r="K152" s="186">
        <f t="shared" si="41"/>
        <v>272000</v>
      </c>
      <c r="L152" s="186">
        <f t="shared" si="42"/>
        <v>3264000</v>
      </c>
      <c r="M152" s="186">
        <v>69000</v>
      </c>
      <c r="N152" s="186">
        <f t="shared" si="43"/>
        <v>828000</v>
      </c>
      <c r="O152" s="186">
        <f t="shared" si="44"/>
        <v>4092000</v>
      </c>
      <c r="P152" s="178"/>
    </row>
    <row r="153" spans="1:16" s="12" customFormat="1" ht="30" x14ac:dyDescent="0.25">
      <c r="A153" s="6">
        <v>4</v>
      </c>
      <c r="B153" s="193" t="s">
        <v>71</v>
      </c>
      <c r="C153" s="124" t="s">
        <v>218</v>
      </c>
      <c r="D153" s="124">
        <v>122</v>
      </c>
      <c r="E153" s="124" t="s">
        <v>59</v>
      </c>
      <c r="F153" s="124">
        <v>1</v>
      </c>
      <c r="G153" s="124">
        <v>2</v>
      </c>
      <c r="H153" s="124">
        <v>2</v>
      </c>
      <c r="I153" s="124">
        <f t="shared" si="40"/>
        <v>4</v>
      </c>
      <c r="J153" s="186">
        <v>68000</v>
      </c>
      <c r="K153" s="186">
        <f>I153*J153</f>
        <v>272000</v>
      </c>
      <c r="L153" s="186">
        <f t="shared" si="42"/>
        <v>3264000</v>
      </c>
      <c r="M153" s="186">
        <v>69000</v>
      </c>
      <c r="N153" s="186">
        <f t="shared" si="43"/>
        <v>828000</v>
      </c>
      <c r="O153" s="186">
        <f t="shared" si="44"/>
        <v>4092000</v>
      </c>
      <c r="P153" s="82"/>
    </row>
    <row r="154" spans="1:16" s="12" customFormat="1" ht="15" x14ac:dyDescent="0.25">
      <c r="A154" s="6">
        <v>5</v>
      </c>
      <c r="B154" s="192" t="s">
        <v>72</v>
      </c>
      <c r="C154" s="124" t="s">
        <v>171</v>
      </c>
      <c r="D154" s="124">
        <v>123</v>
      </c>
      <c r="E154" s="124" t="s">
        <v>59</v>
      </c>
      <c r="F154" s="124">
        <v>1</v>
      </c>
      <c r="G154" s="124">
        <v>2</v>
      </c>
      <c r="H154" s="124">
        <v>2</v>
      </c>
      <c r="I154" s="124">
        <f t="shared" si="40"/>
        <v>4</v>
      </c>
      <c r="J154" s="186">
        <v>68000</v>
      </c>
      <c r="K154" s="186">
        <f t="shared" si="41"/>
        <v>272000</v>
      </c>
      <c r="L154" s="186">
        <f t="shared" si="42"/>
        <v>3264000</v>
      </c>
      <c r="M154" s="186">
        <v>69000</v>
      </c>
      <c r="N154" s="186">
        <f t="shared" si="43"/>
        <v>828000</v>
      </c>
      <c r="O154" s="186">
        <f t="shared" si="44"/>
        <v>4092000</v>
      </c>
      <c r="P154" s="14"/>
    </row>
    <row r="155" spans="1:16" s="12" customFormat="1" ht="15" x14ac:dyDescent="0.25">
      <c r="A155" s="6">
        <v>6</v>
      </c>
      <c r="B155" s="192" t="s">
        <v>73</v>
      </c>
      <c r="C155" s="124"/>
      <c r="D155" s="124">
        <v>124</v>
      </c>
      <c r="E155" s="124" t="s">
        <v>59</v>
      </c>
      <c r="F155" s="124">
        <v>2</v>
      </c>
      <c r="G155" s="124">
        <v>4</v>
      </c>
      <c r="H155" s="124">
        <v>2</v>
      </c>
      <c r="I155" s="124">
        <f t="shared" si="40"/>
        <v>8</v>
      </c>
      <c r="J155" s="186">
        <v>68000</v>
      </c>
      <c r="K155" s="186">
        <f t="shared" si="41"/>
        <v>544000</v>
      </c>
      <c r="L155" s="186">
        <f t="shared" si="42"/>
        <v>6528000</v>
      </c>
      <c r="M155" s="186">
        <v>69000</v>
      </c>
      <c r="N155" s="186">
        <f t="shared" si="43"/>
        <v>828000</v>
      </c>
      <c r="O155" s="186">
        <f t="shared" si="44"/>
        <v>7356000</v>
      </c>
      <c r="P155" s="14"/>
    </row>
    <row r="156" spans="1:16" s="12" customFormat="1" ht="15" x14ac:dyDescent="0.25">
      <c r="A156" s="6">
        <v>7</v>
      </c>
      <c r="B156" s="192" t="s">
        <v>395</v>
      </c>
      <c r="C156" s="124" t="s">
        <v>178</v>
      </c>
      <c r="D156" s="124">
        <v>125</v>
      </c>
      <c r="E156" s="124" t="s">
        <v>59</v>
      </c>
      <c r="F156" s="124">
        <v>2</v>
      </c>
      <c r="G156" s="124">
        <v>4</v>
      </c>
      <c r="H156" s="124">
        <v>2</v>
      </c>
      <c r="I156" s="124">
        <f t="shared" si="40"/>
        <v>8</v>
      </c>
      <c r="J156" s="186">
        <v>68000</v>
      </c>
      <c r="K156" s="186">
        <f t="shared" si="41"/>
        <v>544000</v>
      </c>
      <c r="L156" s="186">
        <f t="shared" si="42"/>
        <v>6528000</v>
      </c>
      <c r="M156" s="186">
        <v>69000</v>
      </c>
      <c r="N156" s="186">
        <f t="shared" si="43"/>
        <v>828000</v>
      </c>
      <c r="O156" s="186">
        <f t="shared" si="44"/>
        <v>7356000</v>
      </c>
      <c r="P156" s="14"/>
    </row>
    <row r="157" spans="1:16" s="22" customFormat="1" ht="30" x14ac:dyDescent="0.25">
      <c r="A157" s="6">
        <v>8</v>
      </c>
      <c r="B157" s="192" t="s">
        <v>382</v>
      </c>
      <c r="C157" s="124" t="s">
        <v>416</v>
      </c>
      <c r="D157" s="124">
        <v>126</v>
      </c>
      <c r="E157" s="124" t="s">
        <v>65</v>
      </c>
      <c r="F157" s="203">
        <v>1</v>
      </c>
      <c r="G157" s="124">
        <v>2</v>
      </c>
      <c r="H157" s="124">
        <v>2</v>
      </c>
      <c r="I157" s="124">
        <f>G157*H157</f>
        <v>4</v>
      </c>
      <c r="J157" s="186">
        <v>68000</v>
      </c>
      <c r="K157" s="186">
        <f>I157*J157</f>
        <v>272000</v>
      </c>
      <c r="L157" s="186">
        <f>K157*12</f>
        <v>3264000</v>
      </c>
      <c r="M157" s="186">
        <v>69000</v>
      </c>
      <c r="N157" s="186">
        <f>M157*12</f>
        <v>828000</v>
      </c>
      <c r="O157" s="186">
        <f>L157+N157</f>
        <v>4092000</v>
      </c>
      <c r="P157" s="69"/>
    </row>
    <row r="158" spans="1:16" s="22" customFormat="1" ht="30" x14ac:dyDescent="0.25">
      <c r="A158" s="6">
        <v>9</v>
      </c>
      <c r="B158" s="192" t="s">
        <v>377</v>
      </c>
      <c r="C158" s="124" t="s">
        <v>399</v>
      </c>
      <c r="D158" s="124">
        <v>127</v>
      </c>
      <c r="E158" s="124" t="s">
        <v>379</v>
      </c>
      <c r="F158" s="203">
        <v>1</v>
      </c>
      <c r="G158" s="124">
        <v>2</v>
      </c>
      <c r="H158" s="124">
        <v>2</v>
      </c>
      <c r="I158" s="124">
        <f>G158*H158</f>
        <v>4</v>
      </c>
      <c r="J158" s="186">
        <v>68000</v>
      </c>
      <c r="K158" s="186">
        <f>I158*J158</f>
        <v>272000</v>
      </c>
      <c r="L158" s="186">
        <f>K158*12</f>
        <v>3264000</v>
      </c>
      <c r="M158" s="186">
        <v>69000</v>
      </c>
      <c r="N158" s="186">
        <f>M158*12</f>
        <v>828000</v>
      </c>
      <c r="O158" s="186">
        <f>L158+N158</f>
        <v>4092000</v>
      </c>
      <c r="P158" s="69"/>
    </row>
    <row r="159" spans="1:16" s="12" customFormat="1" ht="30" x14ac:dyDescent="0.25">
      <c r="A159" s="6">
        <v>10</v>
      </c>
      <c r="B159" s="192" t="s">
        <v>126</v>
      </c>
      <c r="C159" s="124" t="s">
        <v>110</v>
      </c>
      <c r="D159" s="124">
        <v>128</v>
      </c>
      <c r="E159" s="124" t="s">
        <v>59</v>
      </c>
      <c r="F159" s="124">
        <v>1</v>
      </c>
      <c r="G159" s="124">
        <v>2</v>
      </c>
      <c r="H159" s="124">
        <v>2</v>
      </c>
      <c r="I159" s="124">
        <f t="shared" si="40"/>
        <v>4</v>
      </c>
      <c r="J159" s="186">
        <v>68000</v>
      </c>
      <c r="K159" s="186">
        <f t="shared" si="41"/>
        <v>272000</v>
      </c>
      <c r="L159" s="186">
        <f t="shared" si="42"/>
        <v>3264000</v>
      </c>
      <c r="M159" s="186"/>
      <c r="N159" s="186"/>
      <c r="O159" s="186">
        <f t="shared" si="44"/>
        <v>3264000</v>
      </c>
      <c r="P159" s="14"/>
    </row>
    <row r="160" spans="1:16" s="12" customFormat="1" ht="30" x14ac:dyDescent="0.25">
      <c r="A160" s="6">
        <v>11</v>
      </c>
      <c r="B160" s="192" t="s">
        <v>74</v>
      </c>
      <c r="C160" s="124" t="s">
        <v>227</v>
      </c>
      <c r="D160" s="124">
        <v>129</v>
      </c>
      <c r="E160" s="124" t="s">
        <v>59</v>
      </c>
      <c r="F160" s="124">
        <v>1</v>
      </c>
      <c r="G160" s="124">
        <v>2</v>
      </c>
      <c r="H160" s="124">
        <v>2</v>
      </c>
      <c r="I160" s="124">
        <f t="shared" si="40"/>
        <v>4</v>
      </c>
      <c r="J160" s="186">
        <v>68000</v>
      </c>
      <c r="K160" s="186">
        <f t="shared" si="41"/>
        <v>272000</v>
      </c>
      <c r="L160" s="186">
        <f t="shared" si="42"/>
        <v>3264000</v>
      </c>
      <c r="M160" s="186">
        <v>69000</v>
      </c>
      <c r="N160" s="186">
        <f t="shared" si="43"/>
        <v>828000</v>
      </c>
      <c r="O160" s="186">
        <f t="shared" si="44"/>
        <v>4092000</v>
      </c>
      <c r="P160" s="14"/>
    </row>
    <row r="161" spans="1:17" s="12" customFormat="1" ht="15" x14ac:dyDescent="0.25">
      <c r="A161" s="6">
        <v>12</v>
      </c>
      <c r="B161" s="193" t="s">
        <v>75</v>
      </c>
      <c r="C161" s="188" t="s">
        <v>239</v>
      </c>
      <c r="D161" s="124">
        <v>130</v>
      </c>
      <c r="E161" s="124" t="s">
        <v>59</v>
      </c>
      <c r="F161" s="124">
        <v>1</v>
      </c>
      <c r="G161" s="124">
        <v>2</v>
      </c>
      <c r="H161" s="124">
        <v>2</v>
      </c>
      <c r="I161" s="124">
        <f t="shared" si="40"/>
        <v>4</v>
      </c>
      <c r="J161" s="186">
        <v>68000</v>
      </c>
      <c r="K161" s="186">
        <f t="shared" si="41"/>
        <v>272000</v>
      </c>
      <c r="L161" s="186">
        <f t="shared" si="42"/>
        <v>3264000</v>
      </c>
      <c r="M161" s="186">
        <v>69000</v>
      </c>
      <c r="N161" s="186">
        <f>M161*12</f>
        <v>828000</v>
      </c>
      <c r="O161" s="186">
        <f t="shared" si="44"/>
        <v>4092000</v>
      </c>
      <c r="P161" s="82"/>
    </row>
    <row r="162" spans="1:17" s="209" customFormat="1" ht="30" x14ac:dyDescent="0.25">
      <c r="A162" s="6">
        <v>13</v>
      </c>
      <c r="B162" s="193" t="s">
        <v>76</v>
      </c>
      <c r="C162" s="188" t="s">
        <v>198</v>
      </c>
      <c r="D162" s="124">
        <v>131</v>
      </c>
      <c r="E162" s="188" t="s">
        <v>62</v>
      </c>
      <c r="F162" s="188">
        <v>2</v>
      </c>
      <c r="G162" s="188">
        <v>4</v>
      </c>
      <c r="H162" s="188">
        <v>2</v>
      </c>
      <c r="I162" s="188">
        <f t="shared" si="40"/>
        <v>8</v>
      </c>
      <c r="J162" s="194">
        <v>68000</v>
      </c>
      <c r="K162" s="194">
        <f t="shared" si="41"/>
        <v>544000</v>
      </c>
      <c r="L162" s="194">
        <f t="shared" si="42"/>
        <v>6528000</v>
      </c>
      <c r="M162" s="194">
        <v>69000</v>
      </c>
      <c r="N162" s="194">
        <f t="shared" si="43"/>
        <v>828000</v>
      </c>
      <c r="O162" s="194">
        <f t="shared" si="44"/>
        <v>7356000</v>
      </c>
      <c r="P162" s="175"/>
    </row>
    <row r="163" spans="1:17" s="94" customFormat="1" ht="30" x14ac:dyDescent="0.25">
      <c r="A163" s="6">
        <v>14</v>
      </c>
      <c r="B163" s="204" t="s">
        <v>417</v>
      </c>
      <c r="C163" s="188" t="s">
        <v>198</v>
      </c>
      <c r="D163" s="124">
        <v>132</v>
      </c>
      <c r="E163" s="188"/>
      <c r="F163" s="188">
        <v>1</v>
      </c>
      <c r="G163" s="188">
        <v>2</v>
      </c>
      <c r="H163" s="188">
        <v>2</v>
      </c>
      <c r="I163" s="188">
        <f t="shared" si="40"/>
        <v>4</v>
      </c>
      <c r="J163" s="194">
        <v>68000</v>
      </c>
      <c r="K163" s="194">
        <f t="shared" si="41"/>
        <v>272000</v>
      </c>
      <c r="L163" s="194">
        <f t="shared" si="42"/>
        <v>3264000</v>
      </c>
      <c r="M163" s="194">
        <v>69000</v>
      </c>
      <c r="N163" s="194">
        <f t="shared" si="43"/>
        <v>828000</v>
      </c>
      <c r="O163" s="194">
        <f>L163+N163</f>
        <v>4092000</v>
      </c>
      <c r="P163" s="175"/>
      <c r="Q163" s="179"/>
    </row>
    <row r="164" spans="1:17" s="63" customFormat="1" ht="30" x14ac:dyDescent="0.25">
      <c r="A164" s="6">
        <v>15</v>
      </c>
      <c r="B164" s="199" t="s">
        <v>77</v>
      </c>
      <c r="C164" s="200" t="s">
        <v>194</v>
      </c>
      <c r="D164" s="124">
        <v>133</v>
      </c>
      <c r="E164" s="200" t="s">
        <v>62</v>
      </c>
      <c r="F164" s="200">
        <v>1</v>
      </c>
      <c r="G164" s="200">
        <v>2</v>
      </c>
      <c r="H164" s="200">
        <v>2</v>
      </c>
      <c r="I164" s="200">
        <f t="shared" si="40"/>
        <v>4</v>
      </c>
      <c r="J164" s="201">
        <v>68000</v>
      </c>
      <c r="K164" s="201">
        <f t="shared" si="41"/>
        <v>272000</v>
      </c>
      <c r="L164" s="201">
        <f t="shared" si="42"/>
        <v>3264000</v>
      </c>
      <c r="M164" s="201">
        <v>69000</v>
      </c>
      <c r="N164" s="201">
        <f t="shared" si="43"/>
        <v>828000</v>
      </c>
      <c r="O164" s="201">
        <f t="shared" si="44"/>
        <v>4092000</v>
      </c>
      <c r="P164" s="62"/>
    </row>
    <row r="165" spans="1:17" s="12" customFormat="1" ht="30" x14ac:dyDescent="0.25">
      <c r="A165" s="6">
        <v>16</v>
      </c>
      <c r="B165" s="192" t="s">
        <v>436</v>
      </c>
      <c r="C165" s="124" t="s">
        <v>437</v>
      </c>
      <c r="D165" s="124">
        <v>134</v>
      </c>
      <c r="E165" s="124" t="s">
        <v>62</v>
      </c>
      <c r="F165" s="124">
        <v>2</v>
      </c>
      <c r="G165" s="124">
        <v>4</v>
      </c>
      <c r="H165" s="124">
        <v>2</v>
      </c>
      <c r="I165" s="124">
        <f t="shared" si="40"/>
        <v>8</v>
      </c>
      <c r="J165" s="186">
        <v>68000</v>
      </c>
      <c r="K165" s="186">
        <f t="shared" si="41"/>
        <v>544000</v>
      </c>
      <c r="L165" s="186">
        <f t="shared" si="42"/>
        <v>6528000</v>
      </c>
      <c r="M165" s="186">
        <v>69000</v>
      </c>
      <c r="N165" s="186">
        <f t="shared" si="43"/>
        <v>828000</v>
      </c>
      <c r="O165" s="186">
        <f t="shared" si="44"/>
        <v>7356000</v>
      </c>
      <c r="P165" s="14"/>
    </row>
    <row r="166" spans="1:17" s="12" customFormat="1" ht="30" x14ac:dyDescent="0.25">
      <c r="A166" s="6">
        <v>17</v>
      </c>
      <c r="B166" s="193" t="s">
        <v>129</v>
      </c>
      <c r="C166" s="124" t="s">
        <v>130</v>
      </c>
      <c r="D166" s="124">
        <v>135</v>
      </c>
      <c r="E166" s="124" t="s">
        <v>78</v>
      </c>
      <c r="F166" s="124">
        <v>1</v>
      </c>
      <c r="G166" s="124">
        <v>2</v>
      </c>
      <c r="H166" s="124">
        <v>2</v>
      </c>
      <c r="I166" s="124">
        <f t="shared" si="40"/>
        <v>4</v>
      </c>
      <c r="J166" s="186">
        <v>68000</v>
      </c>
      <c r="K166" s="186">
        <f t="shared" si="41"/>
        <v>272000</v>
      </c>
      <c r="L166" s="186">
        <f t="shared" si="42"/>
        <v>3264000</v>
      </c>
      <c r="M166" s="186">
        <v>69000</v>
      </c>
      <c r="N166" s="186">
        <f t="shared" si="43"/>
        <v>828000</v>
      </c>
      <c r="O166" s="186">
        <f t="shared" si="44"/>
        <v>4092000</v>
      </c>
      <c r="P166" s="14"/>
    </row>
    <row r="167" spans="1:17" s="12" customFormat="1" ht="15" x14ac:dyDescent="0.25">
      <c r="A167" s="6">
        <v>18</v>
      </c>
      <c r="B167" s="192" t="s">
        <v>351</v>
      </c>
      <c r="C167" s="124" t="s">
        <v>180</v>
      </c>
      <c r="D167" s="124">
        <v>136</v>
      </c>
      <c r="E167" s="124" t="s">
        <v>62</v>
      </c>
      <c r="F167" s="124">
        <v>1</v>
      </c>
      <c r="G167" s="124">
        <v>2</v>
      </c>
      <c r="H167" s="124">
        <v>2</v>
      </c>
      <c r="I167" s="124">
        <f t="shared" si="40"/>
        <v>4</v>
      </c>
      <c r="J167" s="186">
        <v>68000</v>
      </c>
      <c r="K167" s="186">
        <f t="shared" si="41"/>
        <v>272000</v>
      </c>
      <c r="L167" s="186">
        <f t="shared" si="42"/>
        <v>3264000</v>
      </c>
      <c r="M167" s="186">
        <v>69000</v>
      </c>
      <c r="N167" s="186">
        <f t="shared" si="43"/>
        <v>828000</v>
      </c>
      <c r="O167" s="186">
        <f t="shared" si="44"/>
        <v>4092000</v>
      </c>
      <c r="P167" s="14"/>
    </row>
    <row r="168" spans="1:17" s="12" customFormat="1" ht="15" x14ac:dyDescent="0.25">
      <c r="A168" s="6">
        <v>19</v>
      </c>
      <c r="B168" s="192" t="s">
        <v>79</v>
      </c>
      <c r="C168" s="124" t="s">
        <v>179</v>
      </c>
      <c r="D168" s="124">
        <v>137</v>
      </c>
      <c r="E168" s="124" t="s">
        <v>62</v>
      </c>
      <c r="F168" s="124">
        <v>1</v>
      </c>
      <c r="G168" s="124">
        <v>2</v>
      </c>
      <c r="H168" s="124">
        <v>2</v>
      </c>
      <c r="I168" s="124">
        <f t="shared" si="40"/>
        <v>4</v>
      </c>
      <c r="J168" s="186">
        <v>68000</v>
      </c>
      <c r="K168" s="186">
        <f t="shared" si="41"/>
        <v>272000</v>
      </c>
      <c r="L168" s="186">
        <f t="shared" si="42"/>
        <v>3264000</v>
      </c>
      <c r="M168" s="186">
        <v>69000</v>
      </c>
      <c r="N168" s="186">
        <f t="shared" si="43"/>
        <v>828000</v>
      </c>
      <c r="O168" s="186">
        <f t="shared" si="44"/>
        <v>4092000</v>
      </c>
      <c r="P168" s="14"/>
    </row>
    <row r="169" spans="1:17" s="12" customFormat="1" ht="30" x14ac:dyDescent="0.25">
      <c r="A169" s="6">
        <v>20</v>
      </c>
      <c r="B169" s="193" t="s">
        <v>80</v>
      </c>
      <c r="C169" s="124" t="s">
        <v>197</v>
      </c>
      <c r="D169" s="124">
        <v>138</v>
      </c>
      <c r="E169" s="124" t="s">
        <v>62</v>
      </c>
      <c r="F169" s="124">
        <v>1</v>
      </c>
      <c r="G169" s="124">
        <v>2</v>
      </c>
      <c r="H169" s="124">
        <v>2</v>
      </c>
      <c r="I169" s="124">
        <f t="shared" si="40"/>
        <v>4</v>
      </c>
      <c r="J169" s="186">
        <v>68000</v>
      </c>
      <c r="K169" s="186">
        <f t="shared" si="41"/>
        <v>272000</v>
      </c>
      <c r="L169" s="186">
        <f t="shared" si="42"/>
        <v>3264000</v>
      </c>
      <c r="M169" s="186">
        <v>69000</v>
      </c>
      <c r="N169" s="186">
        <f t="shared" si="43"/>
        <v>828000</v>
      </c>
      <c r="O169" s="186">
        <f t="shared" si="44"/>
        <v>4092000</v>
      </c>
      <c r="P169" s="14"/>
    </row>
    <row r="170" spans="1:17" s="12" customFormat="1" ht="15" x14ac:dyDescent="0.25">
      <c r="A170" s="6">
        <v>21</v>
      </c>
      <c r="B170" s="193" t="s">
        <v>398</v>
      </c>
      <c r="C170" s="188" t="s">
        <v>162</v>
      </c>
      <c r="D170" s="124">
        <v>139</v>
      </c>
      <c r="E170" s="124" t="s">
        <v>62</v>
      </c>
      <c r="F170" s="124">
        <v>3</v>
      </c>
      <c r="G170" s="124">
        <v>6</v>
      </c>
      <c r="H170" s="124">
        <v>2</v>
      </c>
      <c r="I170" s="124">
        <f t="shared" si="40"/>
        <v>12</v>
      </c>
      <c r="J170" s="186">
        <v>68000</v>
      </c>
      <c r="K170" s="186">
        <f t="shared" si="41"/>
        <v>816000</v>
      </c>
      <c r="L170" s="186">
        <f t="shared" si="42"/>
        <v>9792000</v>
      </c>
      <c r="M170" s="186">
        <v>69000</v>
      </c>
      <c r="N170" s="186">
        <f t="shared" si="43"/>
        <v>828000</v>
      </c>
      <c r="O170" s="186">
        <f t="shared" si="44"/>
        <v>10620000</v>
      </c>
      <c r="P170" s="14"/>
    </row>
    <row r="171" spans="1:17" s="12" customFormat="1" ht="30" x14ac:dyDescent="0.25">
      <c r="A171" s="6">
        <v>22</v>
      </c>
      <c r="B171" s="193" t="s">
        <v>418</v>
      </c>
      <c r="C171" s="124" t="s">
        <v>131</v>
      </c>
      <c r="D171" s="124">
        <v>140</v>
      </c>
      <c r="E171" s="124" t="s">
        <v>62</v>
      </c>
      <c r="F171" s="124">
        <v>1</v>
      </c>
      <c r="G171" s="124">
        <v>2</v>
      </c>
      <c r="H171" s="124">
        <v>2</v>
      </c>
      <c r="I171" s="124">
        <f t="shared" si="40"/>
        <v>4</v>
      </c>
      <c r="J171" s="186">
        <v>68000</v>
      </c>
      <c r="K171" s="186">
        <f t="shared" si="41"/>
        <v>272000</v>
      </c>
      <c r="L171" s="186">
        <f t="shared" si="42"/>
        <v>3264000</v>
      </c>
      <c r="M171" s="186">
        <v>69000</v>
      </c>
      <c r="N171" s="186">
        <f t="shared" si="43"/>
        <v>828000</v>
      </c>
      <c r="O171" s="186">
        <f t="shared" si="44"/>
        <v>4092000</v>
      </c>
      <c r="P171" s="174"/>
    </row>
    <row r="172" spans="1:17" s="12" customFormat="1" ht="15" x14ac:dyDescent="0.25">
      <c r="A172" s="6">
        <v>23</v>
      </c>
      <c r="B172" s="192" t="s">
        <v>81</v>
      </c>
      <c r="C172" s="124" t="s">
        <v>214</v>
      </c>
      <c r="D172" s="124">
        <v>141</v>
      </c>
      <c r="E172" s="124" t="s">
        <v>62</v>
      </c>
      <c r="F172" s="124">
        <v>1</v>
      </c>
      <c r="G172" s="124">
        <v>2</v>
      </c>
      <c r="H172" s="124">
        <v>2</v>
      </c>
      <c r="I172" s="124">
        <f t="shared" si="40"/>
        <v>4</v>
      </c>
      <c r="J172" s="186">
        <v>68000</v>
      </c>
      <c r="K172" s="186">
        <f t="shared" si="41"/>
        <v>272000</v>
      </c>
      <c r="L172" s="186">
        <f t="shared" si="42"/>
        <v>3264000</v>
      </c>
      <c r="M172" s="186">
        <v>69000</v>
      </c>
      <c r="N172" s="186">
        <f t="shared" si="43"/>
        <v>828000</v>
      </c>
      <c r="O172" s="186">
        <f t="shared" si="44"/>
        <v>4092000</v>
      </c>
      <c r="P172" s="78"/>
    </row>
    <row r="173" spans="1:17" s="12" customFormat="1" ht="30" x14ac:dyDescent="0.25">
      <c r="A173" s="6">
        <v>24</v>
      </c>
      <c r="B173" s="192" t="s">
        <v>32</v>
      </c>
      <c r="C173" s="124" t="s">
        <v>174</v>
      </c>
      <c r="D173" s="124">
        <v>142</v>
      </c>
      <c r="E173" s="124" t="s">
        <v>62</v>
      </c>
      <c r="F173" s="124">
        <v>1</v>
      </c>
      <c r="G173" s="124">
        <v>2</v>
      </c>
      <c r="H173" s="124">
        <v>2</v>
      </c>
      <c r="I173" s="124">
        <f t="shared" si="40"/>
        <v>4</v>
      </c>
      <c r="J173" s="186">
        <v>68000</v>
      </c>
      <c r="K173" s="186">
        <f t="shared" si="41"/>
        <v>272000</v>
      </c>
      <c r="L173" s="186">
        <f t="shared" si="42"/>
        <v>3264000</v>
      </c>
      <c r="M173" s="186">
        <v>69000</v>
      </c>
      <c r="N173" s="186">
        <f t="shared" si="43"/>
        <v>828000</v>
      </c>
      <c r="O173" s="186">
        <f t="shared" si="44"/>
        <v>4092000</v>
      </c>
      <c r="P173" s="14"/>
    </row>
    <row r="174" spans="1:17" s="12" customFormat="1" ht="30" x14ac:dyDescent="0.25">
      <c r="A174" s="6">
        <v>25</v>
      </c>
      <c r="B174" s="192" t="s">
        <v>181</v>
      </c>
      <c r="C174" s="124" t="s">
        <v>182</v>
      </c>
      <c r="D174" s="124">
        <v>143</v>
      </c>
      <c r="E174" s="124" t="s">
        <v>62</v>
      </c>
      <c r="F174" s="124">
        <v>1</v>
      </c>
      <c r="G174" s="124">
        <v>2</v>
      </c>
      <c r="H174" s="124">
        <v>2</v>
      </c>
      <c r="I174" s="124">
        <f t="shared" si="40"/>
        <v>4</v>
      </c>
      <c r="J174" s="186">
        <v>68000</v>
      </c>
      <c r="K174" s="186">
        <f t="shared" si="41"/>
        <v>272000</v>
      </c>
      <c r="L174" s="186">
        <f t="shared" si="42"/>
        <v>3264000</v>
      </c>
      <c r="M174" s="186">
        <v>69000</v>
      </c>
      <c r="N174" s="186">
        <f t="shared" si="43"/>
        <v>828000</v>
      </c>
      <c r="O174" s="186">
        <f t="shared" si="44"/>
        <v>4092000</v>
      </c>
      <c r="P174" s="14"/>
    </row>
    <row r="175" spans="1:17" s="12" customFormat="1" ht="30" x14ac:dyDescent="0.25">
      <c r="A175" s="6">
        <v>26</v>
      </c>
      <c r="B175" s="192" t="s">
        <v>82</v>
      </c>
      <c r="C175" s="124" t="s">
        <v>183</v>
      </c>
      <c r="D175" s="124">
        <v>144</v>
      </c>
      <c r="E175" s="124" t="s">
        <v>62</v>
      </c>
      <c r="F175" s="124">
        <v>1</v>
      </c>
      <c r="G175" s="124">
        <v>2</v>
      </c>
      <c r="H175" s="124">
        <v>2</v>
      </c>
      <c r="I175" s="124">
        <f t="shared" si="40"/>
        <v>4</v>
      </c>
      <c r="J175" s="186">
        <v>68000</v>
      </c>
      <c r="K175" s="186">
        <f t="shared" si="41"/>
        <v>272000</v>
      </c>
      <c r="L175" s="186">
        <f t="shared" si="42"/>
        <v>3264000</v>
      </c>
      <c r="M175" s="186">
        <v>69000</v>
      </c>
      <c r="N175" s="186">
        <f t="shared" si="43"/>
        <v>828000</v>
      </c>
      <c r="O175" s="186">
        <f t="shared" si="44"/>
        <v>4092000</v>
      </c>
      <c r="P175" s="14"/>
    </row>
    <row r="176" spans="1:17" s="12" customFormat="1" ht="30" x14ac:dyDescent="0.25">
      <c r="A176" s="6">
        <v>27</v>
      </c>
      <c r="B176" s="192" t="s">
        <v>82</v>
      </c>
      <c r="C176" s="124" t="s">
        <v>177</v>
      </c>
      <c r="D176" s="124">
        <v>145</v>
      </c>
      <c r="E176" s="124" t="s">
        <v>62</v>
      </c>
      <c r="F176" s="124">
        <v>1</v>
      </c>
      <c r="G176" s="124">
        <v>2</v>
      </c>
      <c r="H176" s="124">
        <v>2</v>
      </c>
      <c r="I176" s="124">
        <f t="shared" si="40"/>
        <v>4</v>
      </c>
      <c r="J176" s="186">
        <v>68000</v>
      </c>
      <c r="K176" s="186">
        <f t="shared" si="41"/>
        <v>272000</v>
      </c>
      <c r="L176" s="186">
        <f t="shared" si="42"/>
        <v>3264000</v>
      </c>
      <c r="M176" s="186">
        <v>69000</v>
      </c>
      <c r="N176" s="186">
        <f t="shared" si="43"/>
        <v>828000</v>
      </c>
      <c r="O176" s="186">
        <f t="shared" si="44"/>
        <v>4092000</v>
      </c>
      <c r="P176" s="14"/>
    </row>
    <row r="177" spans="1:16" s="12" customFormat="1" ht="30" x14ac:dyDescent="0.25">
      <c r="A177" s="6">
        <v>28</v>
      </c>
      <c r="B177" s="192" t="s">
        <v>83</v>
      </c>
      <c r="C177" s="124" t="s">
        <v>134</v>
      </c>
      <c r="D177" s="124">
        <v>146</v>
      </c>
      <c r="E177" s="124" t="s">
        <v>62</v>
      </c>
      <c r="F177" s="124">
        <v>2</v>
      </c>
      <c r="G177" s="124">
        <v>4</v>
      </c>
      <c r="H177" s="124">
        <v>2</v>
      </c>
      <c r="I177" s="124">
        <f t="shared" si="40"/>
        <v>8</v>
      </c>
      <c r="J177" s="186">
        <v>68000</v>
      </c>
      <c r="K177" s="186">
        <f t="shared" si="41"/>
        <v>544000</v>
      </c>
      <c r="L177" s="186">
        <f t="shared" si="42"/>
        <v>6528000</v>
      </c>
      <c r="M177" s="186">
        <v>69000</v>
      </c>
      <c r="N177" s="186">
        <f t="shared" si="43"/>
        <v>828000</v>
      </c>
      <c r="O177" s="186">
        <f t="shared" si="44"/>
        <v>7356000</v>
      </c>
      <c r="P177" s="14"/>
    </row>
    <row r="178" spans="1:16" s="12" customFormat="1" ht="30" x14ac:dyDescent="0.25">
      <c r="A178" s="6">
        <v>29</v>
      </c>
      <c r="B178" s="192" t="s">
        <v>84</v>
      </c>
      <c r="C178" s="124" t="s">
        <v>131</v>
      </c>
      <c r="D178" s="124">
        <v>147</v>
      </c>
      <c r="E178" s="124" t="s">
        <v>62</v>
      </c>
      <c r="F178" s="124">
        <v>1</v>
      </c>
      <c r="G178" s="124">
        <v>2</v>
      </c>
      <c r="H178" s="124">
        <v>2</v>
      </c>
      <c r="I178" s="124">
        <f t="shared" si="40"/>
        <v>4</v>
      </c>
      <c r="J178" s="186">
        <v>68000</v>
      </c>
      <c r="K178" s="186">
        <f t="shared" si="41"/>
        <v>272000</v>
      </c>
      <c r="L178" s="186">
        <f t="shared" si="42"/>
        <v>3264000</v>
      </c>
      <c r="M178" s="186">
        <v>69000</v>
      </c>
      <c r="N178" s="186">
        <f t="shared" si="43"/>
        <v>828000</v>
      </c>
      <c r="O178" s="186">
        <f t="shared" si="44"/>
        <v>4092000</v>
      </c>
      <c r="P178" s="14"/>
    </row>
    <row r="179" spans="1:16" s="12" customFormat="1" ht="30" x14ac:dyDescent="0.25">
      <c r="A179" s="6">
        <v>30</v>
      </c>
      <c r="B179" s="192" t="s">
        <v>324</v>
      </c>
      <c r="C179" s="124" t="s">
        <v>326</v>
      </c>
      <c r="D179" s="124">
        <v>148</v>
      </c>
      <c r="E179" s="124" t="s">
        <v>62</v>
      </c>
      <c r="F179" s="124">
        <v>1</v>
      </c>
      <c r="G179" s="124">
        <v>2</v>
      </c>
      <c r="H179" s="124">
        <v>2</v>
      </c>
      <c r="I179" s="124">
        <f t="shared" si="40"/>
        <v>4</v>
      </c>
      <c r="J179" s="186">
        <v>68000</v>
      </c>
      <c r="K179" s="186">
        <f t="shared" si="41"/>
        <v>272000</v>
      </c>
      <c r="L179" s="186">
        <f t="shared" si="42"/>
        <v>3264000</v>
      </c>
      <c r="M179" s="186">
        <v>69000</v>
      </c>
      <c r="N179" s="186">
        <f t="shared" si="43"/>
        <v>828000</v>
      </c>
      <c r="O179" s="186">
        <f t="shared" si="44"/>
        <v>4092000</v>
      </c>
      <c r="P179" s="14"/>
    </row>
    <row r="180" spans="1:16" s="12" customFormat="1" ht="15" x14ac:dyDescent="0.25">
      <c r="A180" s="6">
        <v>31</v>
      </c>
      <c r="B180" s="192" t="s">
        <v>85</v>
      </c>
      <c r="C180" s="124" t="s">
        <v>109</v>
      </c>
      <c r="D180" s="124">
        <v>149</v>
      </c>
      <c r="E180" s="124" t="s">
        <v>62</v>
      </c>
      <c r="F180" s="124">
        <v>2</v>
      </c>
      <c r="G180" s="124">
        <v>4</v>
      </c>
      <c r="H180" s="124">
        <v>2</v>
      </c>
      <c r="I180" s="124">
        <f t="shared" si="40"/>
        <v>8</v>
      </c>
      <c r="J180" s="186">
        <v>68000</v>
      </c>
      <c r="K180" s="186">
        <f t="shared" si="41"/>
        <v>544000</v>
      </c>
      <c r="L180" s="186">
        <f t="shared" si="42"/>
        <v>6528000</v>
      </c>
      <c r="M180" s="186">
        <v>69000</v>
      </c>
      <c r="N180" s="186">
        <f t="shared" si="43"/>
        <v>828000</v>
      </c>
      <c r="O180" s="194">
        <f t="shared" si="44"/>
        <v>7356000</v>
      </c>
      <c r="P180" s="14"/>
    </row>
    <row r="181" spans="1:16" s="51" customFormat="1" ht="30" x14ac:dyDescent="0.25">
      <c r="A181" s="6">
        <v>32</v>
      </c>
      <c r="B181" s="192" t="s">
        <v>68</v>
      </c>
      <c r="C181" s="124" t="s">
        <v>204</v>
      </c>
      <c r="D181" s="124">
        <v>150</v>
      </c>
      <c r="E181" s="124" t="s">
        <v>62</v>
      </c>
      <c r="F181" s="124">
        <v>1</v>
      </c>
      <c r="G181" s="124">
        <v>2</v>
      </c>
      <c r="H181" s="124">
        <v>2</v>
      </c>
      <c r="I181" s="124">
        <f t="shared" si="40"/>
        <v>4</v>
      </c>
      <c r="J181" s="186">
        <v>68000</v>
      </c>
      <c r="K181" s="186">
        <f t="shared" si="41"/>
        <v>272000</v>
      </c>
      <c r="L181" s="186">
        <f t="shared" si="42"/>
        <v>3264000</v>
      </c>
      <c r="M181" s="186">
        <v>69000</v>
      </c>
      <c r="N181" s="186">
        <f t="shared" si="43"/>
        <v>828000</v>
      </c>
      <c r="O181" s="186">
        <f t="shared" si="44"/>
        <v>4092000</v>
      </c>
      <c r="P181" s="14"/>
    </row>
    <row r="182" spans="1:16" s="22" customFormat="1" ht="15" x14ac:dyDescent="0.25">
      <c r="A182" s="6">
        <v>33</v>
      </c>
      <c r="B182" s="192" t="s">
        <v>86</v>
      </c>
      <c r="C182" s="124" t="s">
        <v>336</v>
      </c>
      <c r="D182" s="124">
        <v>151</v>
      </c>
      <c r="E182" s="124" t="s">
        <v>62</v>
      </c>
      <c r="F182" s="124">
        <v>1</v>
      </c>
      <c r="G182" s="124">
        <v>2</v>
      </c>
      <c r="H182" s="124">
        <v>2</v>
      </c>
      <c r="I182" s="124">
        <f t="shared" si="40"/>
        <v>4</v>
      </c>
      <c r="J182" s="186">
        <v>68000</v>
      </c>
      <c r="K182" s="186">
        <f t="shared" si="41"/>
        <v>272000</v>
      </c>
      <c r="L182" s="186">
        <f t="shared" si="42"/>
        <v>3264000</v>
      </c>
      <c r="M182" s="186">
        <v>69000</v>
      </c>
      <c r="N182" s="186">
        <f t="shared" si="43"/>
        <v>828000</v>
      </c>
      <c r="O182" s="186">
        <f t="shared" si="44"/>
        <v>4092000</v>
      </c>
      <c r="P182" s="14"/>
    </row>
    <row r="183" spans="1:16" s="12" customFormat="1" ht="30" x14ac:dyDescent="0.25">
      <c r="A183" s="6">
        <v>34</v>
      </c>
      <c r="B183" s="192" t="s">
        <v>87</v>
      </c>
      <c r="C183" s="124" t="s">
        <v>222</v>
      </c>
      <c r="D183" s="124">
        <v>152</v>
      </c>
      <c r="E183" s="124" t="s">
        <v>62</v>
      </c>
      <c r="F183" s="124">
        <v>1</v>
      </c>
      <c r="G183" s="124">
        <v>2</v>
      </c>
      <c r="H183" s="124">
        <v>2</v>
      </c>
      <c r="I183" s="124">
        <f t="shared" si="40"/>
        <v>4</v>
      </c>
      <c r="J183" s="186">
        <v>68000</v>
      </c>
      <c r="K183" s="186">
        <f t="shared" si="41"/>
        <v>272000</v>
      </c>
      <c r="L183" s="186">
        <f t="shared" si="42"/>
        <v>3264000</v>
      </c>
      <c r="M183" s="186">
        <v>69000</v>
      </c>
      <c r="N183" s="186">
        <f t="shared" si="43"/>
        <v>828000</v>
      </c>
      <c r="O183" s="186">
        <f t="shared" si="44"/>
        <v>4092000</v>
      </c>
      <c r="P183" s="14"/>
    </row>
    <row r="184" spans="1:16" s="12" customFormat="1" ht="15" x14ac:dyDescent="0.25">
      <c r="A184" s="6">
        <v>35</v>
      </c>
      <c r="B184" s="192" t="s">
        <v>267</v>
      </c>
      <c r="C184" s="124" t="s">
        <v>268</v>
      </c>
      <c r="D184" s="124">
        <v>153</v>
      </c>
      <c r="E184" s="124" t="s">
        <v>62</v>
      </c>
      <c r="F184" s="124">
        <v>1</v>
      </c>
      <c r="G184" s="124">
        <v>2</v>
      </c>
      <c r="H184" s="124">
        <v>2</v>
      </c>
      <c r="I184" s="124">
        <f t="shared" si="40"/>
        <v>4</v>
      </c>
      <c r="J184" s="186">
        <v>68000</v>
      </c>
      <c r="K184" s="186">
        <f t="shared" si="41"/>
        <v>272000</v>
      </c>
      <c r="L184" s="186">
        <f t="shared" si="42"/>
        <v>3264000</v>
      </c>
      <c r="M184" s="186">
        <v>69000</v>
      </c>
      <c r="N184" s="186">
        <f t="shared" si="43"/>
        <v>828000</v>
      </c>
      <c r="O184" s="186">
        <f t="shared" si="44"/>
        <v>4092000</v>
      </c>
      <c r="P184" s="14"/>
    </row>
    <row r="185" spans="1:16" s="12" customFormat="1" ht="30" x14ac:dyDescent="0.25">
      <c r="A185" s="6">
        <v>36</v>
      </c>
      <c r="B185" s="192" t="s">
        <v>88</v>
      </c>
      <c r="C185" s="124" t="s">
        <v>212</v>
      </c>
      <c r="D185" s="124">
        <v>154</v>
      </c>
      <c r="E185" s="124" t="s">
        <v>62</v>
      </c>
      <c r="F185" s="124">
        <v>1</v>
      </c>
      <c r="G185" s="124">
        <v>2</v>
      </c>
      <c r="H185" s="124">
        <v>2</v>
      </c>
      <c r="I185" s="124">
        <f t="shared" si="40"/>
        <v>4</v>
      </c>
      <c r="J185" s="186">
        <v>68000</v>
      </c>
      <c r="K185" s="186">
        <f t="shared" si="41"/>
        <v>272000</v>
      </c>
      <c r="L185" s="186">
        <f t="shared" si="42"/>
        <v>3264000</v>
      </c>
      <c r="M185" s="186">
        <v>69000</v>
      </c>
      <c r="N185" s="186">
        <f t="shared" si="43"/>
        <v>828000</v>
      </c>
      <c r="O185" s="186">
        <f t="shared" si="44"/>
        <v>4092000</v>
      </c>
      <c r="P185" s="14"/>
    </row>
    <row r="186" spans="1:16" s="12" customFormat="1" ht="30" x14ac:dyDescent="0.25">
      <c r="A186" s="6">
        <v>37</v>
      </c>
      <c r="B186" s="193" t="s">
        <v>89</v>
      </c>
      <c r="C186" s="124" t="s">
        <v>237</v>
      </c>
      <c r="D186" s="124">
        <v>155</v>
      </c>
      <c r="E186" s="124" t="s">
        <v>62</v>
      </c>
      <c r="F186" s="124">
        <v>1</v>
      </c>
      <c r="G186" s="124">
        <v>2</v>
      </c>
      <c r="H186" s="124">
        <v>2</v>
      </c>
      <c r="I186" s="124">
        <f t="shared" si="40"/>
        <v>4</v>
      </c>
      <c r="J186" s="186">
        <v>68000</v>
      </c>
      <c r="K186" s="186">
        <f t="shared" si="41"/>
        <v>272000</v>
      </c>
      <c r="L186" s="186">
        <f t="shared" si="42"/>
        <v>3264000</v>
      </c>
      <c r="M186" s="186">
        <v>69000</v>
      </c>
      <c r="N186" s="186">
        <f t="shared" si="43"/>
        <v>828000</v>
      </c>
      <c r="O186" s="186">
        <f t="shared" si="44"/>
        <v>4092000</v>
      </c>
      <c r="P186" s="14"/>
    </row>
    <row r="187" spans="1:16" s="12" customFormat="1" ht="30" x14ac:dyDescent="0.25">
      <c r="A187" s="6">
        <v>38</v>
      </c>
      <c r="B187" s="192" t="s">
        <v>430</v>
      </c>
      <c r="C187" s="124" t="s">
        <v>195</v>
      </c>
      <c r="D187" s="124">
        <v>156</v>
      </c>
      <c r="E187" s="124" t="s">
        <v>62</v>
      </c>
      <c r="F187" s="124">
        <v>1</v>
      </c>
      <c r="G187" s="124">
        <v>2</v>
      </c>
      <c r="H187" s="124">
        <v>2</v>
      </c>
      <c r="I187" s="124">
        <f t="shared" si="40"/>
        <v>4</v>
      </c>
      <c r="J187" s="186">
        <v>68000</v>
      </c>
      <c r="K187" s="186">
        <f t="shared" si="41"/>
        <v>272000</v>
      </c>
      <c r="L187" s="186">
        <f t="shared" si="42"/>
        <v>3264000</v>
      </c>
      <c r="M187" s="186">
        <v>69000</v>
      </c>
      <c r="N187" s="186">
        <f t="shared" si="43"/>
        <v>828000</v>
      </c>
      <c r="O187" s="186">
        <f t="shared" si="44"/>
        <v>4092000</v>
      </c>
      <c r="P187" s="14"/>
    </row>
    <row r="188" spans="1:16" s="12" customFormat="1" ht="15" x14ac:dyDescent="0.25">
      <c r="A188" s="6">
        <v>39</v>
      </c>
      <c r="B188" s="192" t="s">
        <v>220</v>
      </c>
      <c r="C188" s="124" t="s">
        <v>221</v>
      </c>
      <c r="D188" s="124">
        <v>157</v>
      </c>
      <c r="E188" s="124" t="s">
        <v>62</v>
      </c>
      <c r="F188" s="124">
        <v>1</v>
      </c>
      <c r="G188" s="124">
        <v>2</v>
      </c>
      <c r="H188" s="124">
        <v>2</v>
      </c>
      <c r="I188" s="124">
        <v>4</v>
      </c>
      <c r="J188" s="186">
        <v>68000</v>
      </c>
      <c r="K188" s="186">
        <f t="shared" si="41"/>
        <v>272000</v>
      </c>
      <c r="L188" s="186">
        <f t="shared" si="42"/>
        <v>3264000</v>
      </c>
      <c r="M188" s="186">
        <v>69000</v>
      </c>
      <c r="N188" s="186">
        <f t="shared" si="43"/>
        <v>828000</v>
      </c>
      <c r="O188" s="186">
        <f t="shared" si="44"/>
        <v>4092000</v>
      </c>
      <c r="P188" s="14"/>
    </row>
    <row r="189" spans="1:16" s="12" customFormat="1" ht="15" x14ac:dyDescent="0.25">
      <c r="A189" s="6">
        <v>40</v>
      </c>
      <c r="B189" s="198" t="s">
        <v>319</v>
      </c>
      <c r="C189" s="124" t="s">
        <v>335</v>
      </c>
      <c r="D189" s="124">
        <v>158</v>
      </c>
      <c r="E189" s="124" t="s">
        <v>62</v>
      </c>
      <c r="F189" s="124">
        <v>1</v>
      </c>
      <c r="G189" s="124">
        <v>2</v>
      </c>
      <c r="H189" s="124">
        <v>2</v>
      </c>
      <c r="I189" s="124">
        <v>4</v>
      </c>
      <c r="J189" s="186">
        <v>68000</v>
      </c>
      <c r="K189" s="186">
        <v>272000</v>
      </c>
      <c r="L189" s="186">
        <f>K189*12</f>
        <v>3264000</v>
      </c>
      <c r="M189" s="186">
        <v>69000</v>
      </c>
      <c r="N189" s="186">
        <f t="shared" si="43"/>
        <v>828000</v>
      </c>
      <c r="O189" s="186">
        <f>L189+N189</f>
        <v>4092000</v>
      </c>
      <c r="P189" s="14"/>
    </row>
    <row r="190" spans="1:16" s="22" customFormat="1" ht="15" x14ac:dyDescent="0.25">
      <c r="A190" s="6">
        <v>41</v>
      </c>
      <c r="B190" s="198" t="s">
        <v>419</v>
      </c>
      <c r="C190" s="124" t="s">
        <v>420</v>
      </c>
      <c r="D190" s="124">
        <v>159</v>
      </c>
      <c r="E190" s="124" t="s">
        <v>62</v>
      </c>
      <c r="F190" s="124">
        <v>1</v>
      </c>
      <c r="G190" s="124">
        <v>2</v>
      </c>
      <c r="H190" s="124">
        <v>2</v>
      </c>
      <c r="I190" s="124">
        <v>4</v>
      </c>
      <c r="J190" s="186">
        <v>68000</v>
      </c>
      <c r="K190" s="186">
        <v>272000</v>
      </c>
      <c r="L190" s="186">
        <f>K190*12</f>
        <v>3264000</v>
      </c>
      <c r="M190" s="186">
        <v>69000</v>
      </c>
      <c r="N190" s="186">
        <f t="shared" si="43"/>
        <v>828000</v>
      </c>
      <c r="O190" s="186">
        <f>L190+N190</f>
        <v>4092000</v>
      </c>
      <c r="P190" s="14"/>
    </row>
    <row r="191" spans="1:16" s="22" customFormat="1" ht="15" x14ac:dyDescent="0.25">
      <c r="A191" s="95"/>
      <c r="B191" s="106"/>
      <c r="C191" s="97"/>
      <c r="D191" s="97"/>
      <c r="E191" s="97"/>
      <c r="F191" s="160">
        <f>SUM(F150:F190)</f>
        <v>49</v>
      </c>
      <c r="G191" s="97"/>
      <c r="H191" s="97"/>
      <c r="I191" s="97"/>
      <c r="J191" s="107"/>
      <c r="K191" s="107"/>
      <c r="L191" s="117">
        <f>SUM(L150:L190)</f>
        <v>159936000</v>
      </c>
      <c r="M191" s="107"/>
      <c r="N191" s="117">
        <f>SUM(N150:N190)</f>
        <v>33120000</v>
      </c>
      <c r="O191" s="117">
        <f>SUM(O150:O190)</f>
        <v>193056000</v>
      </c>
      <c r="P191" s="190"/>
    </row>
    <row r="192" spans="1:16" s="12" customFormat="1" ht="15" x14ac:dyDescent="0.25">
      <c r="A192" s="277" t="s">
        <v>315</v>
      </c>
      <c r="B192" s="278"/>
      <c r="C192" s="278"/>
      <c r="D192" s="278"/>
      <c r="E192" s="278"/>
      <c r="F192" s="278"/>
      <c r="G192" s="278"/>
      <c r="H192" s="278"/>
      <c r="I192" s="278"/>
      <c r="J192" s="278"/>
      <c r="K192" s="278"/>
      <c r="L192" s="278"/>
      <c r="M192" s="278"/>
      <c r="N192" s="278"/>
      <c r="O192" s="278"/>
      <c r="P192" s="279"/>
    </row>
    <row r="193" spans="1:16" s="12" customFormat="1" ht="15" x14ac:dyDescent="0.25">
      <c r="A193" s="6">
        <v>1</v>
      </c>
      <c r="B193" s="192" t="s">
        <v>236</v>
      </c>
      <c r="C193" s="124" t="s">
        <v>138</v>
      </c>
      <c r="D193" s="124">
        <v>160</v>
      </c>
      <c r="E193" s="124" t="s">
        <v>62</v>
      </c>
      <c r="F193" s="124">
        <v>1</v>
      </c>
      <c r="G193" s="124">
        <v>2</v>
      </c>
      <c r="H193" s="124">
        <v>2</v>
      </c>
      <c r="I193" s="124">
        <f t="shared" ref="I193:I208" si="45">G193*H193</f>
        <v>4</v>
      </c>
      <c r="J193" s="186">
        <v>68000</v>
      </c>
      <c r="K193" s="186">
        <f>I193*J193</f>
        <v>272000</v>
      </c>
      <c r="L193" s="186">
        <f t="shared" ref="L193:L210" si="46">K193*12</f>
        <v>3264000</v>
      </c>
      <c r="M193" s="186">
        <v>69000</v>
      </c>
      <c r="N193" s="186">
        <f t="shared" ref="N193:N210" si="47">M193*12</f>
        <v>828000</v>
      </c>
      <c r="O193" s="186">
        <f>L193+N193</f>
        <v>4092000</v>
      </c>
      <c r="P193" s="14"/>
    </row>
    <row r="194" spans="1:16" s="12" customFormat="1" ht="15" x14ac:dyDescent="0.25">
      <c r="A194" s="6">
        <v>2</v>
      </c>
      <c r="B194" s="192" t="s">
        <v>136</v>
      </c>
      <c r="C194" s="124" t="s">
        <v>138</v>
      </c>
      <c r="D194" s="124">
        <v>161</v>
      </c>
      <c r="E194" s="124" t="s">
        <v>62</v>
      </c>
      <c r="F194" s="124">
        <v>1</v>
      </c>
      <c r="G194" s="124">
        <v>2</v>
      </c>
      <c r="H194" s="124">
        <v>2</v>
      </c>
      <c r="I194" s="124">
        <f t="shared" si="45"/>
        <v>4</v>
      </c>
      <c r="J194" s="186">
        <v>68000</v>
      </c>
      <c r="K194" s="186">
        <f t="shared" ref="K194:K208" si="48">I194*J194</f>
        <v>272000</v>
      </c>
      <c r="L194" s="186">
        <f t="shared" si="46"/>
        <v>3264000</v>
      </c>
      <c r="M194" s="186">
        <v>69000</v>
      </c>
      <c r="N194" s="186">
        <f t="shared" si="47"/>
        <v>828000</v>
      </c>
      <c r="O194" s="186">
        <f t="shared" ref="O194:O208" si="49">L194+N194</f>
        <v>4092000</v>
      </c>
      <c r="P194" s="14"/>
    </row>
    <row r="195" spans="1:16" s="12" customFormat="1" ht="15" x14ac:dyDescent="0.25">
      <c r="A195" s="6">
        <v>3</v>
      </c>
      <c r="B195" s="192" t="s">
        <v>137</v>
      </c>
      <c r="C195" s="124" t="s">
        <v>139</v>
      </c>
      <c r="D195" s="124">
        <v>162</v>
      </c>
      <c r="E195" s="124" t="s">
        <v>62</v>
      </c>
      <c r="F195" s="124">
        <v>1</v>
      </c>
      <c r="G195" s="124">
        <v>2</v>
      </c>
      <c r="H195" s="124">
        <v>2</v>
      </c>
      <c r="I195" s="124">
        <f t="shared" si="45"/>
        <v>4</v>
      </c>
      <c r="J195" s="186">
        <v>68000</v>
      </c>
      <c r="K195" s="186">
        <f t="shared" si="48"/>
        <v>272000</v>
      </c>
      <c r="L195" s="186">
        <f t="shared" si="46"/>
        <v>3264000</v>
      </c>
      <c r="M195" s="186">
        <v>69000</v>
      </c>
      <c r="N195" s="186">
        <f t="shared" si="47"/>
        <v>828000</v>
      </c>
      <c r="O195" s="186">
        <f t="shared" si="49"/>
        <v>4092000</v>
      </c>
      <c r="P195" s="14"/>
    </row>
    <row r="196" spans="1:16" s="12" customFormat="1" ht="15" x14ac:dyDescent="0.25">
      <c r="A196" s="6">
        <v>4</v>
      </c>
      <c r="B196" s="192" t="s">
        <v>317</v>
      </c>
      <c r="C196" s="124"/>
      <c r="D196" s="124">
        <v>163</v>
      </c>
      <c r="E196" s="124" t="s">
        <v>62</v>
      </c>
      <c r="F196" s="124">
        <v>1</v>
      </c>
      <c r="G196" s="124">
        <v>2</v>
      </c>
      <c r="H196" s="124">
        <v>2</v>
      </c>
      <c r="I196" s="124">
        <f t="shared" si="45"/>
        <v>4</v>
      </c>
      <c r="J196" s="186">
        <v>68000</v>
      </c>
      <c r="K196" s="186">
        <f t="shared" si="48"/>
        <v>272000</v>
      </c>
      <c r="L196" s="186">
        <f t="shared" si="46"/>
        <v>3264000</v>
      </c>
      <c r="M196" s="186">
        <v>69000</v>
      </c>
      <c r="N196" s="186">
        <f t="shared" si="47"/>
        <v>828000</v>
      </c>
      <c r="O196" s="186">
        <f t="shared" si="49"/>
        <v>4092000</v>
      </c>
      <c r="P196" s="6"/>
    </row>
    <row r="197" spans="1:16" s="12" customFormat="1" ht="15" x14ac:dyDescent="0.25">
      <c r="A197" s="6">
        <v>5</v>
      </c>
      <c r="B197" s="205" t="s">
        <v>140</v>
      </c>
      <c r="C197" s="124" t="s">
        <v>139</v>
      </c>
      <c r="D197" s="124">
        <v>164</v>
      </c>
      <c r="E197" s="124" t="s">
        <v>62</v>
      </c>
      <c r="F197" s="124">
        <v>1</v>
      </c>
      <c r="G197" s="124">
        <v>2</v>
      </c>
      <c r="H197" s="124">
        <v>2</v>
      </c>
      <c r="I197" s="124">
        <f t="shared" si="45"/>
        <v>4</v>
      </c>
      <c r="J197" s="186">
        <v>68000</v>
      </c>
      <c r="K197" s="186">
        <v>272000</v>
      </c>
      <c r="L197" s="186">
        <f t="shared" si="46"/>
        <v>3264000</v>
      </c>
      <c r="M197" s="186">
        <v>69000</v>
      </c>
      <c r="N197" s="186">
        <f t="shared" si="47"/>
        <v>828000</v>
      </c>
      <c r="O197" s="186">
        <f t="shared" si="49"/>
        <v>4092000</v>
      </c>
      <c r="P197" s="14"/>
    </row>
    <row r="198" spans="1:16" s="12" customFormat="1" ht="15" x14ac:dyDescent="0.25">
      <c r="A198" s="6">
        <v>6</v>
      </c>
      <c r="B198" s="192" t="s">
        <v>141</v>
      </c>
      <c r="C198" s="124" t="s">
        <v>142</v>
      </c>
      <c r="D198" s="124">
        <v>165</v>
      </c>
      <c r="E198" s="124" t="s">
        <v>62</v>
      </c>
      <c r="F198" s="124">
        <v>1</v>
      </c>
      <c r="G198" s="124">
        <v>2</v>
      </c>
      <c r="H198" s="124">
        <v>2</v>
      </c>
      <c r="I198" s="124">
        <f t="shared" si="45"/>
        <v>4</v>
      </c>
      <c r="J198" s="186">
        <v>68000</v>
      </c>
      <c r="K198" s="186">
        <f t="shared" si="48"/>
        <v>272000</v>
      </c>
      <c r="L198" s="186">
        <f t="shared" si="46"/>
        <v>3264000</v>
      </c>
      <c r="M198" s="186">
        <v>69000</v>
      </c>
      <c r="N198" s="186">
        <f t="shared" si="47"/>
        <v>828000</v>
      </c>
      <c r="O198" s="186">
        <f t="shared" si="49"/>
        <v>4092000</v>
      </c>
      <c r="P198" s="14"/>
    </row>
    <row r="199" spans="1:16" s="12" customFormat="1" ht="15" x14ac:dyDescent="0.25">
      <c r="A199" s="6">
        <v>7</v>
      </c>
      <c r="B199" s="192" t="s">
        <v>422</v>
      </c>
      <c r="C199" s="124" t="s">
        <v>143</v>
      </c>
      <c r="D199" s="124">
        <v>166</v>
      </c>
      <c r="E199" s="124" t="s">
        <v>62</v>
      </c>
      <c r="F199" s="124">
        <v>1</v>
      </c>
      <c r="G199" s="124">
        <v>2</v>
      </c>
      <c r="H199" s="124">
        <v>2</v>
      </c>
      <c r="I199" s="124">
        <f t="shared" si="45"/>
        <v>4</v>
      </c>
      <c r="J199" s="186">
        <v>68000</v>
      </c>
      <c r="K199" s="186">
        <f t="shared" si="48"/>
        <v>272000</v>
      </c>
      <c r="L199" s="186">
        <f t="shared" si="46"/>
        <v>3264000</v>
      </c>
      <c r="M199" s="186">
        <v>69000</v>
      </c>
      <c r="N199" s="186">
        <f t="shared" si="47"/>
        <v>828000</v>
      </c>
      <c r="O199" s="186">
        <f t="shared" si="49"/>
        <v>4092000</v>
      </c>
      <c r="P199" s="14"/>
    </row>
    <row r="200" spans="1:16" s="12" customFormat="1" ht="15" x14ac:dyDescent="0.25">
      <c r="A200" s="6">
        <v>8</v>
      </c>
      <c r="B200" s="192" t="s">
        <v>144</v>
      </c>
      <c r="C200" s="124" t="s">
        <v>145</v>
      </c>
      <c r="D200" s="124">
        <v>167</v>
      </c>
      <c r="E200" s="124" t="s">
        <v>62</v>
      </c>
      <c r="F200" s="124">
        <v>1</v>
      </c>
      <c r="G200" s="124">
        <v>2</v>
      </c>
      <c r="H200" s="124">
        <v>2</v>
      </c>
      <c r="I200" s="124">
        <f t="shared" si="45"/>
        <v>4</v>
      </c>
      <c r="J200" s="186">
        <v>68000</v>
      </c>
      <c r="K200" s="186">
        <v>272000</v>
      </c>
      <c r="L200" s="186">
        <f t="shared" si="46"/>
        <v>3264000</v>
      </c>
      <c r="M200" s="186">
        <v>69000</v>
      </c>
      <c r="N200" s="186">
        <f t="shared" si="47"/>
        <v>828000</v>
      </c>
      <c r="O200" s="186">
        <f t="shared" si="49"/>
        <v>4092000</v>
      </c>
      <c r="P200" s="14"/>
    </row>
    <row r="201" spans="1:16" s="51" customFormat="1" ht="15" x14ac:dyDescent="0.25">
      <c r="A201" s="6">
        <v>9</v>
      </c>
      <c r="B201" s="193" t="s">
        <v>381</v>
      </c>
      <c r="C201" s="124"/>
      <c r="D201" s="124">
        <v>168</v>
      </c>
      <c r="E201" s="124" t="s">
        <v>62</v>
      </c>
      <c r="F201" s="124">
        <v>1</v>
      </c>
      <c r="G201" s="124">
        <v>2</v>
      </c>
      <c r="H201" s="124">
        <v>2</v>
      </c>
      <c r="I201" s="124">
        <f t="shared" si="45"/>
        <v>4</v>
      </c>
      <c r="J201" s="186">
        <v>68000</v>
      </c>
      <c r="K201" s="186">
        <f t="shared" si="48"/>
        <v>272000</v>
      </c>
      <c r="L201" s="186">
        <f t="shared" si="46"/>
        <v>3264000</v>
      </c>
      <c r="M201" s="186">
        <v>69000</v>
      </c>
      <c r="N201" s="186">
        <f t="shared" si="47"/>
        <v>828000</v>
      </c>
      <c r="O201" s="186">
        <f>L201+N201</f>
        <v>4092000</v>
      </c>
      <c r="P201" s="14"/>
    </row>
    <row r="202" spans="1:16" s="63" customFormat="1" ht="15" x14ac:dyDescent="0.25">
      <c r="A202" s="6">
        <v>10</v>
      </c>
      <c r="B202" s="192" t="s">
        <v>158</v>
      </c>
      <c r="C202" s="124" t="s">
        <v>318</v>
      </c>
      <c r="D202" s="124">
        <v>169</v>
      </c>
      <c r="E202" s="124" t="s">
        <v>62</v>
      </c>
      <c r="F202" s="124">
        <v>1</v>
      </c>
      <c r="G202" s="124">
        <v>2</v>
      </c>
      <c r="H202" s="124">
        <v>2</v>
      </c>
      <c r="I202" s="124">
        <f>G202*H202</f>
        <v>4</v>
      </c>
      <c r="J202" s="186">
        <v>68000</v>
      </c>
      <c r="K202" s="186">
        <v>272000</v>
      </c>
      <c r="L202" s="186">
        <f>K202*12</f>
        <v>3264000</v>
      </c>
      <c r="M202" s="186">
        <v>69000</v>
      </c>
      <c r="N202" s="186">
        <f>M202*12</f>
        <v>828000</v>
      </c>
      <c r="O202" s="186">
        <f>L202+N202</f>
        <v>4092000</v>
      </c>
      <c r="P202" s="62"/>
    </row>
    <row r="203" spans="1:16" s="12" customFormat="1" ht="15" x14ac:dyDescent="0.25">
      <c r="A203" s="6">
        <v>11</v>
      </c>
      <c r="B203" s="202" t="s">
        <v>70</v>
      </c>
      <c r="C203" s="124" t="s">
        <v>318</v>
      </c>
      <c r="D203" s="124">
        <v>170</v>
      </c>
      <c r="E203" s="124" t="s">
        <v>153</v>
      </c>
      <c r="F203" s="124">
        <v>1</v>
      </c>
      <c r="G203" s="124">
        <v>2</v>
      </c>
      <c r="H203" s="124">
        <v>2</v>
      </c>
      <c r="I203" s="124">
        <f t="shared" si="45"/>
        <v>4</v>
      </c>
      <c r="J203" s="186">
        <v>68000</v>
      </c>
      <c r="K203" s="186">
        <f t="shared" si="48"/>
        <v>272000</v>
      </c>
      <c r="L203" s="186">
        <f t="shared" si="46"/>
        <v>3264000</v>
      </c>
      <c r="M203" s="186">
        <v>69000</v>
      </c>
      <c r="N203" s="186">
        <f t="shared" si="47"/>
        <v>828000</v>
      </c>
      <c r="O203" s="186">
        <f t="shared" si="49"/>
        <v>4092000</v>
      </c>
      <c r="P203" s="16"/>
    </row>
    <row r="204" spans="1:16" s="12" customFormat="1" ht="15" x14ac:dyDescent="0.25">
      <c r="A204" s="6">
        <v>12</v>
      </c>
      <c r="B204" s="192" t="s">
        <v>154</v>
      </c>
      <c r="C204" s="124" t="s">
        <v>155</v>
      </c>
      <c r="D204" s="124">
        <v>171</v>
      </c>
      <c r="E204" s="124" t="s">
        <v>62</v>
      </c>
      <c r="F204" s="124">
        <v>1</v>
      </c>
      <c r="G204" s="124">
        <v>2</v>
      </c>
      <c r="H204" s="124">
        <v>2</v>
      </c>
      <c r="I204" s="124">
        <f t="shared" si="45"/>
        <v>4</v>
      </c>
      <c r="J204" s="186">
        <v>68000</v>
      </c>
      <c r="K204" s="186">
        <f t="shared" si="48"/>
        <v>272000</v>
      </c>
      <c r="L204" s="186">
        <f t="shared" si="46"/>
        <v>3264000</v>
      </c>
      <c r="M204" s="186">
        <v>69000</v>
      </c>
      <c r="N204" s="186">
        <f t="shared" si="47"/>
        <v>828000</v>
      </c>
      <c r="O204" s="186">
        <f t="shared" si="49"/>
        <v>4092000</v>
      </c>
      <c r="P204" s="14"/>
    </row>
    <row r="205" spans="1:16" s="12" customFormat="1" ht="15" x14ac:dyDescent="0.25">
      <c r="A205" s="6">
        <v>13</v>
      </c>
      <c r="B205" s="192" t="s">
        <v>323</v>
      </c>
      <c r="C205" s="124" t="s">
        <v>318</v>
      </c>
      <c r="D205" s="124">
        <v>172</v>
      </c>
      <c r="E205" s="124" t="s">
        <v>62</v>
      </c>
      <c r="F205" s="124">
        <v>1</v>
      </c>
      <c r="G205" s="124">
        <v>2</v>
      </c>
      <c r="H205" s="124">
        <v>2</v>
      </c>
      <c r="I205" s="124">
        <f t="shared" si="45"/>
        <v>4</v>
      </c>
      <c r="J205" s="186">
        <v>68000</v>
      </c>
      <c r="K205" s="186">
        <f t="shared" si="48"/>
        <v>272000</v>
      </c>
      <c r="L205" s="186">
        <f t="shared" si="46"/>
        <v>3264000</v>
      </c>
      <c r="M205" s="186">
        <v>69000</v>
      </c>
      <c r="N205" s="186">
        <f t="shared" si="47"/>
        <v>828000</v>
      </c>
      <c r="O205" s="186">
        <f t="shared" si="49"/>
        <v>4092000</v>
      </c>
      <c r="P205" s="14"/>
    </row>
    <row r="206" spans="1:16" s="63" customFormat="1" ht="15" x14ac:dyDescent="0.25">
      <c r="A206" s="6">
        <v>14</v>
      </c>
      <c r="B206" s="206" t="s">
        <v>423</v>
      </c>
      <c r="C206" s="124" t="s">
        <v>318</v>
      </c>
      <c r="D206" s="124">
        <v>173</v>
      </c>
      <c r="E206" s="200" t="s">
        <v>62</v>
      </c>
      <c r="F206" s="200">
        <v>1</v>
      </c>
      <c r="G206" s="124">
        <v>2</v>
      </c>
      <c r="H206" s="124">
        <v>2</v>
      </c>
      <c r="I206" s="124">
        <f>G206*H206</f>
        <v>4</v>
      </c>
      <c r="J206" s="201">
        <v>68000</v>
      </c>
      <c r="K206" s="201">
        <v>272000</v>
      </c>
      <c r="L206" s="201">
        <f t="shared" si="46"/>
        <v>3264000</v>
      </c>
      <c r="M206" s="201">
        <v>69000</v>
      </c>
      <c r="N206" s="201">
        <f t="shared" si="47"/>
        <v>828000</v>
      </c>
      <c r="O206" s="201">
        <f t="shared" si="49"/>
        <v>4092000</v>
      </c>
      <c r="P206" s="16"/>
    </row>
    <row r="207" spans="1:16" s="63" customFormat="1" ht="15" x14ac:dyDescent="0.25">
      <c r="A207" s="6">
        <v>15</v>
      </c>
      <c r="B207" s="206" t="s">
        <v>146</v>
      </c>
      <c r="C207" s="200" t="s">
        <v>147</v>
      </c>
      <c r="D207" s="124">
        <v>174</v>
      </c>
      <c r="E207" s="200" t="s">
        <v>62</v>
      </c>
      <c r="F207" s="200">
        <v>1</v>
      </c>
      <c r="G207" s="200">
        <v>2</v>
      </c>
      <c r="H207" s="200">
        <v>2</v>
      </c>
      <c r="I207" s="200">
        <f>G207*H207</f>
        <v>4</v>
      </c>
      <c r="J207" s="201">
        <v>68000</v>
      </c>
      <c r="K207" s="201">
        <v>272000</v>
      </c>
      <c r="L207" s="201">
        <f>K207*12</f>
        <v>3264000</v>
      </c>
      <c r="M207" s="201">
        <v>69000</v>
      </c>
      <c r="N207" s="201">
        <f>M207*12</f>
        <v>828000</v>
      </c>
      <c r="O207" s="201">
        <f>L207+N207</f>
        <v>4092000</v>
      </c>
      <c r="P207" s="16"/>
    </row>
    <row r="208" spans="1:16" s="12" customFormat="1" ht="15" x14ac:dyDescent="0.25">
      <c r="A208" s="6">
        <v>16</v>
      </c>
      <c r="B208" s="193" t="s">
        <v>159</v>
      </c>
      <c r="C208" s="124" t="s">
        <v>160</v>
      </c>
      <c r="D208" s="124">
        <v>175</v>
      </c>
      <c r="E208" s="124" t="s">
        <v>62</v>
      </c>
      <c r="F208" s="124">
        <v>1</v>
      </c>
      <c r="G208" s="124">
        <v>2</v>
      </c>
      <c r="H208" s="124">
        <v>2</v>
      </c>
      <c r="I208" s="124">
        <f t="shared" si="45"/>
        <v>4</v>
      </c>
      <c r="J208" s="186">
        <v>68000</v>
      </c>
      <c r="K208" s="186">
        <f t="shared" si="48"/>
        <v>272000</v>
      </c>
      <c r="L208" s="186">
        <f t="shared" si="46"/>
        <v>3264000</v>
      </c>
      <c r="M208" s="186">
        <v>69000</v>
      </c>
      <c r="N208" s="186">
        <f t="shared" si="47"/>
        <v>828000</v>
      </c>
      <c r="O208" s="186">
        <f t="shared" si="49"/>
        <v>4092000</v>
      </c>
      <c r="P208" s="14"/>
    </row>
    <row r="209" spans="1:16" s="12" customFormat="1" ht="15" x14ac:dyDescent="0.25">
      <c r="A209" s="6">
        <v>17</v>
      </c>
      <c r="B209" s="193" t="s">
        <v>257</v>
      </c>
      <c r="C209" s="124" t="s">
        <v>258</v>
      </c>
      <c r="D209" s="124">
        <v>176</v>
      </c>
      <c r="E209" s="124" t="s">
        <v>62</v>
      </c>
      <c r="F209" s="124">
        <v>1</v>
      </c>
      <c r="G209" s="124">
        <v>2</v>
      </c>
      <c r="H209" s="124">
        <v>2</v>
      </c>
      <c r="I209" s="124">
        <f>G209*H209</f>
        <v>4</v>
      </c>
      <c r="J209" s="186">
        <v>68000</v>
      </c>
      <c r="K209" s="186">
        <f>I209*J209</f>
        <v>272000</v>
      </c>
      <c r="L209" s="186">
        <f t="shared" si="46"/>
        <v>3264000</v>
      </c>
      <c r="M209" s="186">
        <v>69000</v>
      </c>
      <c r="N209" s="186">
        <f t="shared" si="47"/>
        <v>828000</v>
      </c>
      <c r="O209" s="186">
        <f>L209+N209</f>
        <v>4092000</v>
      </c>
      <c r="P209" s="14"/>
    </row>
    <row r="210" spans="1:16" s="12" customFormat="1" ht="15" x14ac:dyDescent="0.25">
      <c r="A210" s="6">
        <v>18</v>
      </c>
      <c r="B210" s="193" t="s">
        <v>259</v>
      </c>
      <c r="C210" s="124" t="s">
        <v>260</v>
      </c>
      <c r="D210" s="124">
        <v>177</v>
      </c>
      <c r="E210" s="124" t="s">
        <v>62</v>
      </c>
      <c r="F210" s="124">
        <v>1</v>
      </c>
      <c r="G210" s="124">
        <v>2</v>
      </c>
      <c r="H210" s="124">
        <v>2</v>
      </c>
      <c r="I210" s="124">
        <f>G210*H210</f>
        <v>4</v>
      </c>
      <c r="J210" s="186">
        <v>68000</v>
      </c>
      <c r="K210" s="186">
        <f>I210*J210</f>
        <v>272000</v>
      </c>
      <c r="L210" s="186">
        <f t="shared" si="46"/>
        <v>3264000</v>
      </c>
      <c r="M210" s="186">
        <v>69000</v>
      </c>
      <c r="N210" s="186">
        <f t="shared" si="47"/>
        <v>828000</v>
      </c>
      <c r="O210" s="186">
        <f>L210+N210</f>
        <v>4092000</v>
      </c>
      <c r="P210" s="14"/>
    </row>
    <row r="211" spans="1:16" s="75" customFormat="1" ht="15" x14ac:dyDescent="0.25">
      <c r="A211" s="6">
        <v>19</v>
      </c>
      <c r="B211" s="202" t="s">
        <v>283</v>
      </c>
      <c r="C211" s="207" t="s">
        <v>284</v>
      </c>
      <c r="D211" s="124">
        <v>178</v>
      </c>
      <c r="E211" s="207" t="s">
        <v>62</v>
      </c>
      <c r="F211" s="207">
        <v>1</v>
      </c>
      <c r="G211" s="207">
        <v>2</v>
      </c>
      <c r="H211" s="207">
        <v>2</v>
      </c>
      <c r="I211" s="207">
        <f>G211*H211</f>
        <v>4</v>
      </c>
      <c r="J211" s="208">
        <v>68000</v>
      </c>
      <c r="K211" s="208">
        <f>I211*J211</f>
        <v>272000</v>
      </c>
      <c r="L211" s="208">
        <f>K211*12</f>
        <v>3264000</v>
      </c>
      <c r="M211" s="208">
        <v>69000</v>
      </c>
      <c r="N211" s="208">
        <f>M211*12</f>
        <v>828000</v>
      </c>
      <c r="O211" s="208">
        <f>L211+N211</f>
        <v>4092000</v>
      </c>
      <c r="P211" s="74"/>
    </row>
    <row r="212" spans="1:16" s="75" customFormat="1" ht="15" x14ac:dyDescent="0.25">
      <c r="A212" s="95"/>
      <c r="B212" s="118"/>
      <c r="C212" s="119"/>
      <c r="D212" s="119"/>
      <c r="E212" s="119"/>
      <c r="F212" s="119">
        <f>SUM(F193:F211)</f>
        <v>19</v>
      </c>
      <c r="G212" s="119"/>
      <c r="H212" s="119"/>
      <c r="I212" s="119"/>
      <c r="J212" s="120"/>
      <c r="K212" s="120"/>
      <c r="L212" s="122">
        <f>SUM(L193:L211)</f>
        <v>62016000</v>
      </c>
      <c r="M212" s="120"/>
      <c r="N212" s="122">
        <f>SUM(N193:N211)</f>
        <v>15732000</v>
      </c>
      <c r="O212" s="122">
        <f>SUM(O193:O211)</f>
        <v>77748000</v>
      </c>
      <c r="P212" s="121"/>
    </row>
    <row r="213" spans="1:16" s="12" customFormat="1" ht="15" x14ac:dyDescent="0.25">
      <c r="A213" s="277" t="s">
        <v>261</v>
      </c>
      <c r="B213" s="278"/>
      <c r="C213" s="278"/>
      <c r="D213" s="278"/>
      <c r="E213" s="278"/>
      <c r="F213" s="278"/>
      <c r="G213" s="278"/>
      <c r="H213" s="278"/>
      <c r="I213" s="278"/>
      <c r="J213" s="278"/>
      <c r="K213" s="278"/>
      <c r="L213" s="278"/>
      <c r="M213" s="278"/>
      <c r="N213" s="278"/>
      <c r="O213" s="278"/>
      <c r="P213" s="279"/>
    </row>
    <row r="214" spans="1:16" s="51" customFormat="1" ht="15" x14ac:dyDescent="0.25">
      <c r="A214" s="6">
        <v>1</v>
      </c>
      <c r="B214" s="72" t="s">
        <v>428</v>
      </c>
      <c r="C214" s="6"/>
      <c r="D214" s="6">
        <v>179</v>
      </c>
      <c r="E214" s="6" t="s">
        <v>62</v>
      </c>
      <c r="F214" s="6">
        <v>1</v>
      </c>
      <c r="G214" s="6">
        <v>2</v>
      </c>
      <c r="H214" s="6">
        <v>2</v>
      </c>
      <c r="I214" s="6">
        <f>G214*H214</f>
        <v>4</v>
      </c>
      <c r="J214" s="16">
        <v>68000</v>
      </c>
      <c r="K214" s="16">
        <f>I214*J214</f>
        <v>272000</v>
      </c>
      <c r="L214" s="16">
        <f>K214*12</f>
        <v>3264000</v>
      </c>
      <c r="M214" s="16">
        <v>69000</v>
      </c>
      <c r="N214" s="16">
        <f>M214*12</f>
        <v>828000</v>
      </c>
      <c r="O214" s="16">
        <f>L214+N214</f>
        <v>4092000</v>
      </c>
      <c r="P214" s="14"/>
    </row>
    <row r="215" spans="1:16" s="51" customFormat="1" ht="15" x14ac:dyDescent="0.25">
      <c r="A215" s="6">
        <v>2</v>
      </c>
      <c r="B215" s="72" t="s">
        <v>429</v>
      </c>
      <c r="C215" s="6" t="s">
        <v>262</v>
      </c>
      <c r="D215" s="6">
        <v>180</v>
      </c>
      <c r="E215" s="6" t="s">
        <v>62</v>
      </c>
      <c r="F215" s="6">
        <v>1</v>
      </c>
      <c r="G215" s="6">
        <v>2</v>
      </c>
      <c r="H215" s="6">
        <v>2</v>
      </c>
      <c r="I215" s="6">
        <f>G215*H215</f>
        <v>4</v>
      </c>
      <c r="J215" s="16">
        <v>68000</v>
      </c>
      <c r="K215" s="16">
        <f>I215*J215</f>
        <v>272000</v>
      </c>
      <c r="L215" s="16">
        <f>K215*12</f>
        <v>3264000</v>
      </c>
      <c r="M215" s="16">
        <v>69000</v>
      </c>
      <c r="N215" s="16">
        <f>M215*12</f>
        <v>828000</v>
      </c>
      <c r="O215" s="189">
        <f>L215+N215</f>
        <v>4092000</v>
      </c>
      <c r="P215" s="14"/>
    </row>
    <row r="216" spans="1:16" s="51" customFormat="1" ht="30" x14ac:dyDescent="0.25">
      <c r="A216" s="6">
        <v>3</v>
      </c>
      <c r="B216" s="72" t="s">
        <v>328</v>
      </c>
      <c r="C216" s="6" t="s">
        <v>263</v>
      </c>
      <c r="D216" s="6">
        <v>181</v>
      </c>
      <c r="E216" s="6" t="s">
        <v>62</v>
      </c>
      <c r="F216" s="6">
        <v>1</v>
      </c>
      <c r="G216" s="6">
        <v>2</v>
      </c>
      <c r="H216" s="6">
        <v>2</v>
      </c>
      <c r="I216" s="6">
        <f>G216*H216</f>
        <v>4</v>
      </c>
      <c r="J216" s="16">
        <v>68000</v>
      </c>
      <c r="K216" s="16">
        <f>I216*J216</f>
        <v>272000</v>
      </c>
      <c r="L216" s="16">
        <f>K216*12</f>
        <v>3264000</v>
      </c>
      <c r="M216" s="16">
        <v>69000</v>
      </c>
      <c r="N216" s="16">
        <f>M216*12</f>
        <v>828000</v>
      </c>
      <c r="O216" s="16">
        <f>L216+N216</f>
        <v>4092000</v>
      </c>
      <c r="P216" s="14"/>
    </row>
    <row r="217" spans="1:16" s="51" customFormat="1" ht="15" x14ac:dyDescent="0.25">
      <c r="A217" s="6">
        <v>4</v>
      </c>
      <c r="B217" s="76" t="s">
        <v>298</v>
      </c>
      <c r="C217" s="77" t="s">
        <v>299</v>
      </c>
      <c r="D217" s="89">
        <v>182</v>
      </c>
      <c r="E217" s="89" t="s">
        <v>62</v>
      </c>
      <c r="F217" s="89">
        <v>1</v>
      </c>
      <c r="G217" s="89">
        <v>2</v>
      </c>
      <c r="H217" s="89">
        <v>2</v>
      </c>
      <c r="I217" s="89">
        <v>4</v>
      </c>
      <c r="J217" s="90">
        <v>68000</v>
      </c>
      <c r="K217" s="90">
        <f>J217*I217</f>
        <v>272000</v>
      </c>
      <c r="L217" s="90">
        <f>K217*12</f>
        <v>3264000</v>
      </c>
      <c r="M217" s="90">
        <v>69000</v>
      </c>
      <c r="N217" s="90">
        <f>M217*12</f>
        <v>828000</v>
      </c>
      <c r="O217" s="90">
        <f>L217+N217</f>
        <v>4092000</v>
      </c>
      <c r="P217" s="108"/>
    </row>
    <row r="218" spans="1:16" s="51" customFormat="1" ht="15" x14ac:dyDescent="0.25">
      <c r="A218" s="159"/>
      <c r="B218" s="100"/>
      <c r="C218" s="160"/>
      <c r="D218" s="160"/>
      <c r="E218" s="160"/>
      <c r="F218" s="161">
        <f>SUM(F214:F217)</f>
        <v>4</v>
      </c>
      <c r="G218" s="160"/>
      <c r="H218" s="160"/>
      <c r="I218" s="160"/>
      <c r="J218" s="162"/>
      <c r="K218" s="162"/>
      <c r="L218" s="162">
        <f>SUM(L214:L217)</f>
        <v>13056000</v>
      </c>
      <c r="M218" s="162"/>
      <c r="N218" s="17">
        <f>SUM(N214:N217)</f>
        <v>3312000</v>
      </c>
      <c r="O218" s="17">
        <f>SUM(O214:O217)</f>
        <v>16368000</v>
      </c>
      <c r="P218" s="108"/>
    </row>
    <row r="219" spans="1:16" x14ac:dyDescent="0.3">
      <c r="A219" s="123">
        <f>A18+A23+A37+A42+A62+A91+A107+A116+A135+A143+A147+A190+A211+A217</f>
        <v>182</v>
      </c>
      <c r="B219" s="267" t="s">
        <v>90</v>
      </c>
      <c r="C219" s="268"/>
      <c r="D219" s="47"/>
      <c r="E219" s="47"/>
      <c r="F219" s="48">
        <f>F218+F212+F191+F148+F144+F136+F117+F108+F92+F63+F43+F38+F24+F19</f>
        <v>230</v>
      </c>
      <c r="G219" s="48"/>
      <c r="H219" s="48"/>
      <c r="I219" s="48"/>
      <c r="J219" s="48"/>
      <c r="K219" s="50"/>
      <c r="L219" s="48">
        <f>L218+L212+L191+L148+L144+L136+L117+L108+L92+L63+L43+L38+L24+L19</f>
        <v>752637600</v>
      </c>
      <c r="M219" s="48"/>
      <c r="N219" s="48">
        <f>N218+N212+N191+N148+N144+N136+N117+N108+N92+N63+N43+N38+N24+N19</f>
        <v>138276000</v>
      </c>
      <c r="O219" s="48">
        <f>O218+O212+O191+O148+O144+O136+O117+O108+O92+O63+O43+O38+O24+O19</f>
        <v>893193600</v>
      </c>
      <c r="P219" s="48"/>
    </row>
    <row r="220" spans="1:16" x14ac:dyDescent="0.3">
      <c r="B220" s="42" t="s">
        <v>99</v>
      </c>
      <c r="D220" s="83"/>
      <c r="E220" s="57" t="s">
        <v>265</v>
      </c>
      <c r="F220" s="58"/>
      <c r="G220" s="59" t="s">
        <v>266</v>
      </c>
      <c r="H220" s="42"/>
      <c r="I220" s="33"/>
      <c r="K220" s="269"/>
      <c r="L220" s="270"/>
      <c r="M220" s="270"/>
      <c r="N220" s="270"/>
      <c r="O220" s="270"/>
      <c r="P220" s="23"/>
    </row>
    <row r="221" spans="1:16" x14ac:dyDescent="0.3">
      <c r="B221" s="2"/>
      <c r="I221" s="31"/>
      <c r="J221" s="30"/>
      <c r="K221" s="262"/>
      <c r="L221" s="262"/>
      <c r="M221" s="262"/>
      <c r="N221" s="262"/>
      <c r="O221" s="262"/>
    </row>
    <row r="222" spans="1:16" x14ac:dyDescent="0.3">
      <c r="B222" s="2"/>
      <c r="D222" s="68"/>
      <c r="G222" s="35"/>
      <c r="H222" s="31"/>
      <c r="I222" s="35"/>
      <c r="J222" s="39"/>
      <c r="K222" s="262"/>
      <c r="L222" s="262"/>
      <c r="M222" s="262"/>
      <c r="N222" s="262"/>
      <c r="O222" s="262"/>
    </row>
    <row r="223" spans="1:16" x14ac:dyDescent="0.3">
      <c r="A223" s="1"/>
      <c r="B223" s="2"/>
      <c r="E223" s="1"/>
      <c r="F223" s="1"/>
      <c r="G223" s="1"/>
      <c r="H223" s="36"/>
      <c r="I223" s="1"/>
      <c r="J223" s="1"/>
      <c r="K223" s="1"/>
      <c r="L223" s="1"/>
      <c r="M223" s="1"/>
      <c r="N223" s="1"/>
      <c r="O223" s="20"/>
    </row>
    <row r="224" spans="1:16" x14ac:dyDescent="0.3">
      <c r="A224" s="1"/>
      <c r="B224" s="2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1"/>
    </row>
    <row r="225" spans="1:15" x14ac:dyDescent="0.3">
      <c r="A225" s="1"/>
      <c r="B225" s="2" t="s">
        <v>295</v>
      </c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0"/>
    </row>
    <row r="226" spans="1:15" x14ac:dyDescent="0.3">
      <c r="A226" s="1"/>
      <c r="B226" s="2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</sheetData>
  <autoFilter ref="A7:AC220" xr:uid="{00000000-0009-0000-0000-000001000000}"/>
  <mergeCells count="32">
    <mergeCell ref="A1:C1"/>
    <mergeCell ref="A2:C2"/>
    <mergeCell ref="K220:O220"/>
    <mergeCell ref="B219:C219"/>
    <mergeCell ref="K221:O221"/>
    <mergeCell ref="A20:P20"/>
    <mergeCell ref="A25:P25"/>
    <mergeCell ref="A39:P39"/>
    <mergeCell ref="A44:P44"/>
    <mergeCell ref="A64:P64"/>
    <mergeCell ref="A93:P93"/>
    <mergeCell ref="A109:P109"/>
    <mergeCell ref="A118:P118"/>
    <mergeCell ref="A137:P137"/>
    <mergeCell ref="A192:P192"/>
    <mergeCell ref="A213:P213"/>
    <mergeCell ref="K222:O222"/>
    <mergeCell ref="P6:P7"/>
    <mergeCell ref="J1:O1"/>
    <mergeCell ref="J2:O2"/>
    <mergeCell ref="A4:P4"/>
    <mergeCell ref="A6:A7"/>
    <mergeCell ref="B6:B7"/>
    <mergeCell ref="C6:C7"/>
    <mergeCell ref="E6:E7"/>
    <mergeCell ref="F6:F7"/>
    <mergeCell ref="G6:I6"/>
    <mergeCell ref="J6:L6"/>
    <mergeCell ref="M6:N6"/>
    <mergeCell ref="O6:O7"/>
    <mergeCell ref="A9:P9"/>
    <mergeCell ref="D6:D7"/>
  </mergeCells>
  <conditionalFormatting sqref="B217">
    <cfRule type="duplicateValues" dxfId="0" priority="3"/>
  </conditionalFormatting>
  <pageMargins left="0" right="0" top="0.27559055118110237" bottom="0.31496062992125984" header="0.19685039370078741" footer="0.23622047244094491"/>
  <pageSetup paperSize="9" scale="80" orientation="landscape" verticalDpi="0" r:id="rId1"/>
  <headerFoot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5"/>
  <sheetViews>
    <sheetView workbookViewId="0">
      <selection activeCell="F9" sqref="F9"/>
    </sheetView>
  </sheetViews>
  <sheetFormatPr defaultRowHeight="15" x14ac:dyDescent="0.25"/>
  <cols>
    <col min="1" max="1" width="5.5703125" customWidth="1"/>
    <col min="2" max="2" width="15.42578125" customWidth="1"/>
  </cols>
  <sheetData>
    <row r="2" spans="1:16" ht="27" customHeight="1" x14ac:dyDescent="0.25">
      <c r="A2" s="283" t="s">
        <v>438</v>
      </c>
      <c r="B2" s="283" t="s">
        <v>1</v>
      </c>
      <c r="C2" s="283" t="s">
        <v>2</v>
      </c>
      <c r="D2" s="283" t="s">
        <v>94</v>
      </c>
      <c r="E2" s="283" t="s">
        <v>3</v>
      </c>
      <c r="F2" s="283" t="s">
        <v>4</v>
      </c>
      <c r="G2" s="259" t="s">
        <v>96</v>
      </c>
      <c r="H2" s="259"/>
      <c r="I2" s="259"/>
      <c r="J2" s="280" t="s">
        <v>5</v>
      </c>
      <c r="K2" s="281"/>
      <c r="L2" s="282"/>
      <c r="M2" s="280" t="s">
        <v>6</v>
      </c>
      <c r="N2" s="282"/>
      <c r="O2" s="283" t="s">
        <v>364</v>
      </c>
      <c r="P2" s="283" t="s">
        <v>25</v>
      </c>
    </row>
    <row r="3" spans="1:16" ht="28.5" x14ac:dyDescent="0.25">
      <c r="A3" s="284"/>
      <c r="B3" s="284"/>
      <c r="C3" s="284"/>
      <c r="D3" s="284"/>
      <c r="E3" s="284"/>
      <c r="F3" s="284"/>
      <c r="G3" s="43" t="s">
        <v>97</v>
      </c>
      <c r="H3" s="43" t="s">
        <v>98</v>
      </c>
      <c r="I3" s="43" t="s">
        <v>118</v>
      </c>
      <c r="J3" s="43" t="s">
        <v>101</v>
      </c>
      <c r="K3" s="43" t="s">
        <v>95</v>
      </c>
      <c r="L3" s="43" t="s">
        <v>363</v>
      </c>
      <c r="M3" s="43" t="s">
        <v>95</v>
      </c>
      <c r="N3" s="43" t="s">
        <v>363</v>
      </c>
      <c r="O3" s="284"/>
      <c r="P3" s="284"/>
    </row>
    <row r="4" spans="1:16" ht="30" x14ac:dyDescent="0.25">
      <c r="A4" s="210">
        <v>1</v>
      </c>
      <c r="B4" s="198" t="s">
        <v>421</v>
      </c>
      <c r="C4" s="124" t="s">
        <v>420</v>
      </c>
      <c r="D4" s="124"/>
      <c r="E4" s="124" t="s">
        <v>62</v>
      </c>
      <c r="F4" s="124">
        <v>1</v>
      </c>
      <c r="G4" s="124">
        <v>2</v>
      </c>
      <c r="H4" s="124">
        <v>2</v>
      </c>
      <c r="I4" s="124">
        <v>4</v>
      </c>
      <c r="J4" s="186">
        <v>68000</v>
      </c>
      <c r="K4" s="186">
        <v>272000</v>
      </c>
      <c r="L4" s="186">
        <f>K4*12</f>
        <v>3264000</v>
      </c>
      <c r="M4" s="186">
        <v>69000</v>
      </c>
      <c r="N4" s="186">
        <f t="shared" ref="N4:N5" si="0">M4*12</f>
        <v>828000</v>
      </c>
      <c r="O4" s="186">
        <f>L4+N4</f>
        <v>4092000</v>
      </c>
      <c r="P4" s="103"/>
    </row>
    <row r="5" spans="1:16" ht="60" x14ac:dyDescent="0.25">
      <c r="A5" s="210">
        <v>2</v>
      </c>
      <c r="B5" s="215" t="s">
        <v>201</v>
      </c>
      <c r="C5" s="214" t="s">
        <v>202</v>
      </c>
      <c r="D5" s="214">
        <v>34</v>
      </c>
      <c r="E5" s="214" t="s">
        <v>37</v>
      </c>
      <c r="F5" s="214">
        <v>1</v>
      </c>
      <c r="G5" s="214">
        <v>1.5</v>
      </c>
      <c r="H5" s="214">
        <v>2</v>
      </c>
      <c r="I5" s="214">
        <f t="shared" ref="I5" si="1">G5*H5</f>
        <v>3</v>
      </c>
      <c r="J5" s="216">
        <v>68000</v>
      </c>
      <c r="K5" s="216">
        <f t="shared" ref="K5" si="2">I5*J5</f>
        <v>204000</v>
      </c>
      <c r="L5" s="216">
        <f t="shared" ref="L5" si="3">K5*12</f>
        <v>2448000</v>
      </c>
      <c r="M5" s="216">
        <v>69000</v>
      </c>
      <c r="N5" s="216">
        <f t="shared" si="0"/>
        <v>828000</v>
      </c>
      <c r="O5" s="216">
        <f t="shared" ref="O5" si="4">L5+N5</f>
        <v>3276000</v>
      </c>
      <c r="P5" s="103"/>
    </row>
  </sheetData>
  <mergeCells count="11">
    <mergeCell ref="J2:L2"/>
    <mergeCell ref="M2:N2"/>
    <mergeCell ref="O2:O3"/>
    <mergeCell ref="P2:P3"/>
    <mergeCell ref="A2:A3"/>
    <mergeCell ref="B2:B3"/>
    <mergeCell ref="C2:C3"/>
    <mergeCell ref="D2:D3"/>
    <mergeCell ref="E2:E3"/>
    <mergeCell ref="F2:F3"/>
    <mergeCell ref="G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A399-CAA6-48B4-B3BD-6E8581CE65E4}">
  <dimension ref="A1:H45"/>
  <sheetViews>
    <sheetView topLeftCell="A10" workbookViewId="0">
      <selection activeCell="G17" sqref="G17"/>
    </sheetView>
  </sheetViews>
  <sheetFormatPr defaultRowHeight="18.75" x14ac:dyDescent="0.3"/>
  <cols>
    <col min="1" max="1" width="8.42578125" style="1" customWidth="1"/>
    <col min="2" max="2" width="27.140625" style="1" customWidth="1"/>
    <col min="3" max="3" width="17" style="1" customWidth="1"/>
    <col min="4" max="4" width="19.5703125" style="1" customWidth="1"/>
    <col min="5" max="5" width="16.42578125" style="1" customWidth="1"/>
    <col min="6" max="7" width="9.140625" style="1"/>
    <col min="8" max="8" width="17" style="1" bestFit="1" customWidth="1"/>
    <col min="9" max="16384" width="9.140625" style="1"/>
  </cols>
  <sheetData>
    <row r="1" spans="1:8" x14ac:dyDescent="0.3">
      <c r="A1" s="1" t="s">
        <v>503</v>
      </c>
      <c r="B1" s="248" t="s">
        <v>504</v>
      </c>
    </row>
    <row r="3" spans="1:8" ht="24" customHeight="1" x14ac:dyDescent="0.3">
      <c r="A3" s="224" t="s">
        <v>438</v>
      </c>
      <c r="B3" s="224" t="s">
        <v>338</v>
      </c>
      <c r="C3" s="224" t="s">
        <v>337</v>
      </c>
      <c r="D3" s="224" t="s">
        <v>124</v>
      </c>
      <c r="E3" s="224" t="s">
        <v>470</v>
      </c>
    </row>
    <row r="4" spans="1:8" ht="24" customHeight="1" x14ac:dyDescent="0.3">
      <c r="A4" s="227">
        <v>1</v>
      </c>
      <c r="B4" s="222" t="s">
        <v>8</v>
      </c>
      <c r="C4" s="222" t="s">
        <v>501</v>
      </c>
      <c r="D4" s="226">
        <v>5590800</v>
      </c>
      <c r="E4" s="225" t="s">
        <v>505</v>
      </c>
    </row>
    <row r="5" spans="1:8" ht="24" customHeight="1" x14ac:dyDescent="0.3">
      <c r="A5" s="227">
        <v>2</v>
      </c>
      <c r="B5" s="222" t="s">
        <v>115</v>
      </c>
      <c r="C5" s="222" t="s">
        <v>49</v>
      </c>
      <c r="D5" s="226">
        <v>3276000</v>
      </c>
      <c r="E5" s="228" t="s">
        <v>506</v>
      </c>
    </row>
    <row r="6" spans="1:8" s="254" customFormat="1" ht="24" customHeight="1" x14ac:dyDescent="0.3">
      <c r="A6" s="250">
        <v>3</v>
      </c>
      <c r="B6" s="251" t="s">
        <v>66</v>
      </c>
      <c r="C6" s="251" t="s">
        <v>501</v>
      </c>
      <c r="D6" s="252">
        <v>4080000</v>
      </c>
      <c r="E6" s="256" t="s">
        <v>507</v>
      </c>
    </row>
    <row r="7" spans="1:8" s="254" customFormat="1" ht="24" customHeight="1" x14ac:dyDescent="0.3">
      <c r="A7" s="250">
        <v>4</v>
      </c>
      <c r="B7" s="251" t="s">
        <v>66</v>
      </c>
      <c r="C7" s="251" t="s">
        <v>501</v>
      </c>
      <c r="D7" s="252">
        <v>4428000</v>
      </c>
      <c r="E7" s="256" t="s">
        <v>507</v>
      </c>
    </row>
    <row r="8" spans="1:8" ht="24" customHeight="1" x14ac:dyDescent="0.3">
      <c r="A8" s="227">
        <v>5</v>
      </c>
      <c r="B8" s="222" t="s">
        <v>41</v>
      </c>
      <c r="C8" s="222" t="s">
        <v>49</v>
      </c>
      <c r="D8" s="226">
        <v>3276000</v>
      </c>
      <c r="E8" s="225" t="s">
        <v>508</v>
      </c>
    </row>
    <row r="9" spans="1:8" ht="24" customHeight="1" x14ac:dyDescent="0.3">
      <c r="A9" s="227">
        <v>6</v>
      </c>
      <c r="B9" s="222" t="s">
        <v>79</v>
      </c>
      <c r="C9" s="222" t="s">
        <v>106</v>
      </c>
      <c r="D9" s="226">
        <v>4092000</v>
      </c>
      <c r="E9" s="228">
        <v>46153</v>
      </c>
    </row>
    <row r="10" spans="1:8" s="254" customFormat="1" ht="24" customHeight="1" x14ac:dyDescent="0.3">
      <c r="A10" s="250">
        <v>7</v>
      </c>
      <c r="B10" s="251" t="s">
        <v>509</v>
      </c>
      <c r="C10" s="251" t="s">
        <v>501</v>
      </c>
      <c r="D10" s="252">
        <v>15116400</v>
      </c>
      <c r="E10" s="253">
        <v>46154</v>
      </c>
    </row>
    <row r="11" spans="1:8" s="254" customFormat="1" ht="24" customHeight="1" x14ac:dyDescent="0.3">
      <c r="A11" s="250">
        <v>8</v>
      </c>
      <c r="B11" s="251" t="s">
        <v>510</v>
      </c>
      <c r="C11" s="251" t="s">
        <v>106</v>
      </c>
      <c r="D11" s="252">
        <v>3108000</v>
      </c>
      <c r="E11" s="253">
        <v>46156</v>
      </c>
    </row>
    <row r="12" spans="1:8" ht="24" customHeight="1" x14ac:dyDescent="0.3">
      <c r="A12" s="227">
        <v>9</v>
      </c>
      <c r="B12" s="222" t="s">
        <v>77</v>
      </c>
      <c r="C12" s="222" t="s">
        <v>106</v>
      </c>
      <c r="D12" s="226">
        <v>4092000</v>
      </c>
      <c r="E12" s="228">
        <v>46157</v>
      </c>
    </row>
    <row r="13" spans="1:8" s="254" customFormat="1" ht="24" customHeight="1" x14ac:dyDescent="0.3">
      <c r="A13" s="250">
        <v>10</v>
      </c>
      <c r="B13" s="251" t="s">
        <v>68</v>
      </c>
      <c r="C13" s="251" t="s">
        <v>511</v>
      </c>
      <c r="D13" s="252">
        <v>4428000</v>
      </c>
      <c r="E13" s="253">
        <v>46160</v>
      </c>
      <c r="H13" s="255">
        <f>D6+D7+D10+D11+D13+D15</f>
        <v>34436400</v>
      </c>
    </row>
    <row r="14" spans="1:8" ht="24" customHeight="1" x14ac:dyDescent="0.3">
      <c r="A14" s="227">
        <v>11</v>
      </c>
      <c r="B14" s="222" t="s">
        <v>32</v>
      </c>
      <c r="C14" s="222" t="s">
        <v>106</v>
      </c>
      <c r="D14" s="226">
        <v>4092000</v>
      </c>
      <c r="E14" s="228" t="s">
        <v>512</v>
      </c>
    </row>
    <row r="15" spans="1:8" ht="24" customHeight="1" x14ac:dyDescent="0.3">
      <c r="A15" s="227">
        <v>12</v>
      </c>
      <c r="B15" s="222" t="s">
        <v>47</v>
      </c>
      <c r="C15" s="222" t="s">
        <v>513</v>
      </c>
      <c r="D15" s="226">
        <v>3276000</v>
      </c>
      <c r="E15" s="228" t="s">
        <v>512</v>
      </c>
    </row>
    <row r="16" spans="1:8" ht="24" customHeight="1" x14ac:dyDescent="0.3">
      <c r="A16" s="227"/>
      <c r="B16" s="222"/>
      <c r="C16" s="222"/>
      <c r="D16" s="226"/>
      <c r="E16" s="228"/>
    </row>
    <row r="17" spans="1:8" ht="24" customHeight="1" x14ac:dyDescent="0.3">
      <c r="A17" s="227"/>
      <c r="B17" s="223" t="s">
        <v>90</v>
      </c>
      <c r="C17" s="222"/>
      <c r="D17" s="229">
        <f>SUM(D4:D15)</f>
        <v>58855200</v>
      </c>
      <c r="E17" s="222"/>
    </row>
    <row r="20" spans="1:8" x14ac:dyDescent="0.3">
      <c r="A20" s="1" t="s">
        <v>503</v>
      </c>
      <c r="B20" s="248" t="s">
        <v>488</v>
      </c>
    </row>
    <row r="22" spans="1:8" ht="24" customHeight="1" x14ac:dyDescent="0.3">
      <c r="A22" s="224" t="s">
        <v>438</v>
      </c>
      <c r="B22" s="224" t="s">
        <v>338</v>
      </c>
      <c r="C22" s="224" t="s">
        <v>337</v>
      </c>
      <c r="D22" s="224" t="s">
        <v>124</v>
      </c>
      <c r="E22" s="224" t="s">
        <v>470</v>
      </c>
    </row>
    <row r="23" spans="1:8" ht="24" customHeight="1" x14ac:dyDescent="0.3">
      <c r="A23" s="227">
        <v>1</v>
      </c>
      <c r="B23" s="222" t="s">
        <v>108</v>
      </c>
      <c r="C23" s="222" t="s">
        <v>49</v>
      </c>
      <c r="D23" s="226">
        <v>5724000</v>
      </c>
      <c r="E23" s="225" t="s">
        <v>489</v>
      </c>
    </row>
    <row r="24" spans="1:8" ht="24" customHeight="1" x14ac:dyDescent="0.3">
      <c r="A24" s="227">
        <v>2</v>
      </c>
      <c r="B24" s="222" t="s">
        <v>84</v>
      </c>
      <c r="C24" s="222" t="s">
        <v>62</v>
      </c>
      <c r="D24" s="226">
        <v>4092000</v>
      </c>
      <c r="E24" s="228" t="s">
        <v>490</v>
      </c>
    </row>
    <row r="25" spans="1:8" ht="24" customHeight="1" x14ac:dyDescent="0.3">
      <c r="A25" s="227">
        <v>3</v>
      </c>
      <c r="B25" s="222" t="s">
        <v>491</v>
      </c>
      <c r="C25" s="222" t="s">
        <v>62</v>
      </c>
      <c r="D25" s="226">
        <v>4092000</v>
      </c>
      <c r="E25" s="225" t="s">
        <v>492</v>
      </c>
    </row>
    <row r="26" spans="1:8" ht="24" customHeight="1" x14ac:dyDescent="0.3">
      <c r="A26" s="227">
        <v>4</v>
      </c>
      <c r="B26" s="222" t="s">
        <v>349</v>
      </c>
      <c r="C26" s="222" t="s">
        <v>49</v>
      </c>
      <c r="D26" s="226">
        <v>3276000</v>
      </c>
      <c r="E26" s="225" t="s">
        <v>493</v>
      </c>
    </row>
    <row r="27" spans="1:8" ht="24" customHeight="1" x14ac:dyDescent="0.3">
      <c r="A27" s="227">
        <v>5</v>
      </c>
      <c r="B27" s="222" t="s">
        <v>494</v>
      </c>
      <c r="C27" s="222" t="s">
        <v>472</v>
      </c>
      <c r="D27" s="226">
        <v>3108000</v>
      </c>
      <c r="E27" s="225" t="s">
        <v>495</v>
      </c>
    </row>
    <row r="28" spans="1:8" ht="24" customHeight="1" x14ac:dyDescent="0.3">
      <c r="A28" s="227">
        <v>6</v>
      </c>
      <c r="B28" s="222" t="s">
        <v>496</v>
      </c>
      <c r="C28" s="222" t="s">
        <v>497</v>
      </c>
      <c r="D28" s="226">
        <v>5590800</v>
      </c>
      <c r="E28" s="228">
        <v>46126</v>
      </c>
    </row>
    <row r="29" spans="1:8" ht="24" customHeight="1" x14ac:dyDescent="0.3">
      <c r="A29" s="227">
        <v>7</v>
      </c>
      <c r="B29" s="222" t="s">
        <v>245</v>
      </c>
      <c r="C29" s="222" t="s">
        <v>498</v>
      </c>
      <c r="D29" s="226">
        <v>13617000</v>
      </c>
      <c r="E29" s="228">
        <v>46126</v>
      </c>
    </row>
    <row r="30" spans="1:8" ht="24" customHeight="1" x14ac:dyDescent="0.3">
      <c r="A30" s="227">
        <v>8</v>
      </c>
      <c r="B30" s="222" t="s">
        <v>328</v>
      </c>
      <c r="C30" s="222" t="s">
        <v>153</v>
      </c>
      <c r="D30" s="226">
        <v>4092000</v>
      </c>
      <c r="E30" s="228">
        <v>46128</v>
      </c>
    </row>
    <row r="31" spans="1:8" ht="24" customHeight="1" x14ac:dyDescent="0.3">
      <c r="A31" s="227">
        <v>9</v>
      </c>
      <c r="B31" s="222" t="s">
        <v>82</v>
      </c>
      <c r="C31" s="222" t="s">
        <v>62</v>
      </c>
      <c r="D31" s="226">
        <v>4092000</v>
      </c>
      <c r="E31" s="228">
        <v>46132</v>
      </c>
    </row>
    <row r="32" spans="1:8" ht="24" customHeight="1" x14ac:dyDescent="0.3">
      <c r="A32" s="227">
        <v>10</v>
      </c>
      <c r="B32" s="222" t="s">
        <v>67</v>
      </c>
      <c r="C32" s="222" t="s">
        <v>499</v>
      </c>
      <c r="D32" s="226">
        <v>4428000</v>
      </c>
      <c r="E32" s="228">
        <v>46132</v>
      </c>
      <c r="H32" s="247">
        <f>D34+D45</f>
        <v>77345800</v>
      </c>
    </row>
    <row r="33" spans="1:5" ht="24" customHeight="1" x14ac:dyDescent="0.3">
      <c r="A33" s="227">
        <v>11</v>
      </c>
      <c r="B33" s="222" t="s">
        <v>448</v>
      </c>
      <c r="C33" s="222" t="s">
        <v>500</v>
      </c>
      <c r="D33" s="226">
        <v>3276000</v>
      </c>
      <c r="E33" s="228">
        <v>46136</v>
      </c>
    </row>
    <row r="34" spans="1:5" ht="24" customHeight="1" x14ac:dyDescent="0.3">
      <c r="A34" s="227"/>
      <c r="B34" s="223" t="s">
        <v>90</v>
      </c>
      <c r="C34" s="222"/>
      <c r="D34" s="229">
        <f>SUM(D23:D33)</f>
        <v>55387800</v>
      </c>
      <c r="E34" s="222"/>
    </row>
    <row r="38" spans="1:5" x14ac:dyDescent="0.3">
      <c r="B38" s="248" t="s">
        <v>487</v>
      </c>
    </row>
    <row r="40" spans="1:5" ht="24" customHeight="1" x14ac:dyDescent="0.3">
      <c r="A40" s="224" t="s">
        <v>438</v>
      </c>
      <c r="B40" s="224" t="s">
        <v>338</v>
      </c>
      <c r="C40" s="224" t="s">
        <v>337</v>
      </c>
      <c r="D40" s="224" t="s">
        <v>124</v>
      </c>
      <c r="E40" s="224" t="s">
        <v>470</v>
      </c>
    </row>
    <row r="41" spans="1:5" ht="24" customHeight="1" x14ac:dyDescent="0.3">
      <c r="A41" s="227">
        <v>1</v>
      </c>
      <c r="B41" s="222" t="s">
        <v>296</v>
      </c>
      <c r="C41" s="222" t="s">
        <v>49</v>
      </c>
      <c r="D41" s="226">
        <v>3276000</v>
      </c>
      <c r="E41" s="225" t="s">
        <v>471</v>
      </c>
    </row>
    <row r="42" spans="1:5" ht="24" customHeight="1" x14ac:dyDescent="0.3">
      <c r="A42" s="227">
        <v>2</v>
      </c>
      <c r="B42" s="222" t="s">
        <v>411</v>
      </c>
      <c r="C42" s="222" t="s">
        <v>472</v>
      </c>
      <c r="D42" s="226">
        <v>4092000</v>
      </c>
      <c r="E42" s="228" t="s">
        <v>473</v>
      </c>
    </row>
    <row r="43" spans="1:5" ht="24" customHeight="1" x14ac:dyDescent="0.3">
      <c r="A43" s="227">
        <v>3</v>
      </c>
      <c r="B43" s="222" t="s">
        <v>32</v>
      </c>
      <c r="C43" s="222" t="s">
        <v>474</v>
      </c>
      <c r="D43" s="226">
        <v>5590000</v>
      </c>
      <c r="E43" s="225" t="s">
        <v>475</v>
      </c>
    </row>
    <row r="44" spans="1:5" ht="24" customHeight="1" x14ac:dyDescent="0.3">
      <c r="A44" s="227">
        <v>4</v>
      </c>
      <c r="B44" s="222" t="s">
        <v>476</v>
      </c>
      <c r="C44" s="222" t="s">
        <v>477</v>
      </c>
      <c r="D44" s="226">
        <v>9000000</v>
      </c>
      <c r="E44" s="225" t="s">
        <v>475</v>
      </c>
    </row>
    <row r="45" spans="1:5" ht="24" customHeight="1" x14ac:dyDescent="0.3">
      <c r="A45" s="227"/>
      <c r="B45" s="223" t="s">
        <v>90</v>
      </c>
      <c r="C45" s="222"/>
      <c r="D45" s="229">
        <f>SUM(D41:D44)</f>
        <v>21958000</v>
      </c>
      <c r="E45" s="222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1"/>
  <sheetViews>
    <sheetView workbookViewId="0">
      <selection activeCell="F5" sqref="F5"/>
    </sheetView>
  </sheetViews>
  <sheetFormatPr defaultColWidth="9.140625" defaultRowHeight="16.5" x14ac:dyDescent="0.25"/>
  <cols>
    <col min="1" max="1" width="4.7109375" style="135" customWidth="1"/>
    <col min="2" max="2" width="25.5703125" style="135" customWidth="1"/>
    <col min="3" max="3" width="6.7109375" style="135" customWidth="1"/>
    <col min="4" max="4" width="16.28515625" style="135" customWidth="1"/>
    <col min="5" max="5" width="13" style="135" customWidth="1"/>
    <col min="6" max="6" width="12.5703125" style="135" customWidth="1"/>
    <col min="7" max="7" width="14.5703125" style="135" customWidth="1"/>
    <col min="8" max="8" width="12.5703125" style="135" customWidth="1"/>
    <col min="9" max="10" width="9.140625" style="135"/>
    <col min="11" max="11" width="15.42578125" style="135" customWidth="1"/>
    <col min="12" max="12" width="14.42578125" style="135" customWidth="1"/>
    <col min="13" max="14" width="9.140625" style="135"/>
    <col min="15" max="15" width="12.28515625" style="135" customWidth="1"/>
    <col min="16" max="16384" width="9.140625" style="135"/>
  </cols>
  <sheetData>
    <row r="1" spans="1:16" x14ac:dyDescent="0.25">
      <c r="A1" s="261" t="s">
        <v>359</v>
      </c>
      <c r="B1" s="261"/>
      <c r="C1" s="261"/>
      <c r="D1" s="261"/>
      <c r="E1" s="261"/>
      <c r="F1" s="261"/>
      <c r="G1" s="261"/>
      <c r="I1" s="136"/>
    </row>
    <row r="2" spans="1:16" x14ac:dyDescent="0.25">
      <c r="A2" s="290" t="s">
        <v>358</v>
      </c>
      <c r="B2" s="290"/>
      <c r="C2" s="290"/>
      <c r="D2" s="290"/>
      <c r="E2" s="290"/>
      <c r="F2" s="290"/>
      <c r="G2" s="290"/>
      <c r="I2" s="136"/>
    </row>
    <row r="3" spans="1:16" ht="69.75" customHeight="1" x14ac:dyDescent="0.25">
      <c r="A3" s="157" t="s">
        <v>339</v>
      </c>
      <c r="B3" s="157" t="s">
        <v>338</v>
      </c>
      <c r="C3" s="157" t="s">
        <v>4</v>
      </c>
      <c r="D3" s="157" t="s">
        <v>337</v>
      </c>
      <c r="E3" s="157" t="s">
        <v>124</v>
      </c>
      <c r="F3" s="40"/>
      <c r="G3" s="40"/>
    </row>
    <row r="4" spans="1:16" ht="21" customHeight="1" x14ac:dyDescent="0.25">
      <c r="A4" s="137">
        <v>1</v>
      </c>
      <c r="B4" s="138" t="s">
        <v>382</v>
      </c>
      <c r="C4" s="139"/>
      <c r="D4" s="139" t="s">
        <v>65</v>
      </c>
      <c r="E4" s="140">
        <v>2092000</v>
      </c>
      <c r="F4" s="140" t="s">
        <v>383</v>
      </c>
      <c r="G4" s="141"/>
      <c r="H4" s="142"/>
    </row>
    <row r="5" spans="1:16" ht="21" customHeight="1" x14ac:dyDescent="0.25">
      <c r="A5" s="137">
        <v>3</v>
      </c>
      <c r="B5" s="143"/>
      <c r="C5" s="137"/>
      <c r="D5" s="137"/>
      <c r="E5" s="140"/>
      <c r="F5" s="144"/>
      <c r="G5" s="141"/>
      <c r="N5" s="135" t="e">
        <f>SUM(#REF!)</f>
        <v>#REF!</v>
      </c>
    </row>
    <row r="6" spans="1:16" ht="21" customHeight="1" x14ac:dyDescent="0.25">
      <c r="A6" s="137">
        <v>4</v>
      </c>
      <c r="B6" s="143"/>
      <c r="C6" s="137"/>
      <c r="D6" s="137"/>
      <c r="E6" s="144"/>
      <c r="F6" s="144"/>
      <c r="G6" s="141"/>
    </row>
    <row r="7" spans="1:16" ht="21" customHeight="1" x14ac:dyDescent="0.25">
      <c r="A7" s="137">
        <v>5</v>
      </c>
      <c r="B7" s="143"/>
      <c r="C7" s="137"/>
      <c r="D7" s="137"/>
      <c r="E7" s="144"/>
      <c r="F7" s="144"/>
      <c r="G7" s="141"/>
    </row>
    <row r="8" spans="1:16" ht="21" customHeight="1" x14ac:dyDescent="0.25">
      <c r="A8" s="137">
        <v>6</v>
      </c>
      <c r="B8" s="143"/>
      <c r="C8" s="137"/>
      <c r="D8" s="137"/>
      <c r="E8" s="144"/>
      <c r="F8" s="144"/>
      <c r="G8" s="141"/>
    </row>
    <row r="9" spans="1:16" ht="21" customHeight="1" x14ac:dyDescent="0.25">
      <c r="A9" s="137">
        <v>7</v>
      </c>
      <c r="B9" s="143"/>
      <c r="C9" s="137"/>
      <c r="D9" s="137"/>
      <c r="E9" s="144"/>
      <c r="F9" s="144"/>
      <c r="G9" s="141"/>
    </row>
    <row r="10" spans="1:16" ht="36" customHeight="1" x14ac:dyDescent="0.25">
      <c r="A10" s="137">
        <v>8</v>
      </c>
      <c r="B10" s="143"/>
      <c r="C10" s="137"/>
      <c r="D10" s="137"/>
      <c r="E10" s="144"/>
      <c r="F10" s="144"/>
      <c r="G10" s="141"/>
    </row>
    <row r="11" spans="1:16" ht="21" customHeight="1" x14ac:dyDescent="0.25">
      <c r="A11" s="137">
        <v>9</v>
      </c>
      <c r="B11" s="143"/>
      <c r="C11" s="137"/>
      <c r="D11" s="137"/>
      <c r="E11" s="144"/>
      <c r="F11" s="144"/>
      <c r="G11" s="141"/>
      <c r="P11" s="145"/>
    </row>
    <row r="12" spans="1:16" ht="21" customHeight="1" x14ac:dyDescent="0.25">
      <c r="A12" s="137">
        <v>10</v>
      </c>
      <c r="B12" s="146"/>
      <c r="C12" s="137"/>
      <c r="D12" s="137"/>
      <c r="E12" s="144"/>
      <c r="F12" s="144"/>
      <c r="G12" s="141"/>
      <c r="P12" s="147"/>
    </row>
    <row r="13" spans="1:16" ht="21" customHeight="1" x14ac:dyDescent="0.25">
      <c r="A13" s="137">
        <v>11</v>
      </c>
      <c r="B13" s="148"/>
      <c r="C13" s="137"/>
      <c r="D13" s="137"/>
      <c r="E13" s="144"/>
      <c r="F13" s="144"/>
      <c r="G13" s="141"/>
      <c r="P13" s="147"/>
    </row>
    <row r="14" spans="1:16" ht="21" customHeight="1" x14ac:dyDescent="0.25">
      <c r="A14" s="137">
        <v>12</v>
      </c>
      <c r="B14" s="146"/>
      <c r="C14" s="137"/>
      <c r="D14" s="137"/>
      <c r="E14" s="144"/>
      <c r="F14" s="144"/>
      <c r="G14" s="141"/>
      <c r="P14" s="147"/>
    </row>
    <row r="15" spans="1:16" ht="21" customHeight="1" x14ac:dyDescent="0.25">
      <c r="A15" s="137">
        <v>13</v>
      </c>
      <c r="B15" s="146"/>
      <c r="C15" s="137"/>
      <c r="D15" s="137"/>
      <c r="E15" s="144"/>
      <c r="F15" s="144"/>
      <c r="G15" s="141"/>
      <c r="P15" s="147"/>
    </row>
    <row r="16" spans="1:16" ht="21" customHeight="1" x14ac:dyDescent="0.25">
      <c r="A16" s="137">
        <v>15</v>
      </c>
      <c r="B16" s="146"/>
      <c r="C16" s="137"/>
      <c r="D16" s="137"/>
      <c r="E16" s="144"/>
      <c r="F16" s="144"/>
      <c r="G16" s="141"/>
      <c r="P16" s="147"/>
    </row>
    <row r="17" spans="1:16" ht="21" customHeight="1" x14ac:dyDescent="0.25">
      <c r="A17" s="137">
        <v>16</v>
      </c>
      <c r="B17" s="146"/>
      <c r="C17" s="137"/>
      <c r="D17" s="137"/>
      <c r="E17" s="144"/>
      <c r="F17" s="144"/>
      <c r="G17" s="141"/>
      <c r="P17" s="147"/>
    </row>
    <row r="18" spans="1:16" ht="21" customHeight="1" x14ac:dyDescent="0.25">
      <c r="A18" s="137">
        <v>17</v>
      </c>
      <c r="B18" s="146"/>
      <c r="C18" s="137"/>
      <c r="D18" s="137"/>
      <c r="E18" s="144"/>
      <c r="F18" s="144"/>
      <c r="G18" s="141"/>
      <c r="P18" s="147"/>
    </row>
    <row r="19" spans="1:16" s="153" customFormat="1" ht="21" customHeight="1" x14ac:dyDescent="0.25">
      <c r="A19" s="149">
        <v>19</v>
      </c>
      <c r="B19" s="150"/>
      <c r="C19" s="149"/>
      <c r="D19" s="149"/>
      <c r="E19" s="151"/>
      <c r="F19" s="151"/>
      <c r="G19" s="152"/>
      <c r="P19" s="154"/>
    </row>
    <row r="20" spans="1:16" ht="21" customHeight="1" x14ac:dyDescent="0.25">
      <c r="A20" s="137">
        <v>20</v>
      </c>
      <c r="B20" s="146"/>
      <c r="C20" s="137"/>
      <c r="D20" s="137"/>
      <c r="E20" s="144"/>
      <c r="F20" s="144"/>
      <c r="G20" s="141"/>
      <c r="P20" s="147"/>
    </row>
    <row r="21" spans="1:16" ht="21" customHeight="1" x14ac:dyDescent="0.25">
      <c r="A21" s="137">
        <v>21</v>
      </c>
      <c r="B21" s="146"/>
      <c r="C21" s="137"/>
      <c r="D21" s="137"/>
      <c r="E21" s="144"/>
      <c r="F21" s="144"/>
      <c r="G21" s="141"/>
      <c r="P21" s="147"/>
    </row>
    <row r="22" spans="1:16" ht="21" customHeight="1" x14ac:dyDescent="0.25">
      <c r="A22" s="137">
        <v>22</v>
      </c>
      <c r="B22" s="146"/>
      <c r="C22" s="137"/>
      <c r="D22" s="137"/>
      <c r="E22" s="144"/>
      <c r="F22" s="144"/>
      <c r="G22" s="141"/>
      <c r="P22" s="147"/>
    </row>
    <row r="23" spans="1:16" ht="21" customHeight="1" x14ac:dyDescent="0.25">
      <c r="A23" s="137">
        <v>23</v>
      </c>
      <c r="B23" s="143"/>
      <c r="C23" s="137"/>
      <c r="D23" s="137"/>
      <c r="E23" s="144"/>
      <c r="F23" s="144"/>
      <c r="G23" s="141"/>
      <c r="P23" s="147"/>
    </row>
    <row r="24" spans="1:16" ht="21" customHeight="1" x14ac:dyDescent="0.25">
      <c r="A24" s="137">
        <v>24</v>
      </c>
      <c r="B24" s="146"/>
      <c r="C24" s="137"/>
      <c r="D24" s="137"/>
      <c r="E24" s="144"/>
      <c r="F24" s="144"/>
      <c r="G24" s="141"/>
      <c r="P24" s="147"/>
    </row>
    <row r="25" spans="1:16" x14ac:dyDescent="0.25">
      <c r="A25" s="155"/>
      <c r="B25" s="155" t="s">
        <v>304</v>
      </c>
      <c r="C25" s="155"/>
      <c r="D25" s="155"/>
      <c r="E25" s="155"/>
      <c r="F25" s="156">
        <f>SUM(F4:F24)</f>
        <v>0</v>
      </c>
      <c r="G25" s="156">
        <f>SUM(G4:G24)</f>
        <v>0</v>
      </c>
      <c r="H25" s="142" t="s">
        <v>360</v>
      </c>
      <c r="P25" s="147"/>
    </row>
    <row r="27" spans="1:16" x14ac:dyDescent="0.25">
      <c r="A27" s="261" t="s">
        <v>355</v>
      </c>
      <c r="B27" s="261"/>
      <c r="C27" s="136"/>
      <c r="D27" s="261" t="s">
        <v>356</v>
      </c>
      <c r="E27" s="261"/>
      <c r="F27" s="261"/>
      <c r="G27" s="261"/>
    </row>
    <row r="28" spans="1:16" x14ac:dyDescent="0.25">
      <c r="A28" s="136"/>
      <c r="B28" s="136"/>
      <c r="C28" s="136"/>
      <c r="D28" s="136"/>
      <c r="E28" s="136"/>
      <c r="F28" s="136"/>
      <c r="G28" s="136"/>
      <c r="H28" s="142"/>
    </row>
    <row r="29" spans="1:16" x14ac:dyDescent="0.25">
      <c r="A29" s="136"/>
      <c r="B29" s="136"/>
      <c r="C29" s="136"/>
      <c r="D29" s="136"/>
      <c r="E29" s="136"/>
      <c r="F29" s="136"/>
      <c r="G29" s="136"/>
    </row>
    <row r="30" spans="1:16" x14ac:dyDescent="0.25">
      <c r="A30" s="136"/>
      <c r="B30" s="136"/>
      <c r="C30" s="136"/>
      <c r="D30" s="136"/>
      <c r="E30" s="136"/>
      <c r="F30" s="136"/>
      <c r="G30" s="136"/>
    </row>
    <row r="31" spans="1:16" x14ac:dyDescent="0.25">
      <c r="A31" s="261" t="s">
        <v>295</v>
      </c>
      <c r="B31" s="261"/>
      <c r="C31" s="136"/>
      <c r="D31" s="261" t="s">
        <v>357</v>
      </c>
      <c r="E31" s="261"/>
      <c r="F31" s="261" t="s">
        <v>275</v>
      </c>
      <c r="G31" s="261"/>
    </row>
  </sheetData>
  <mergeCells count="7">
    <mergeCell ref="A1:G1"/>
    <mergeCell ref="D27:G27"/>
    <mergeCell ref="A27:B27"/>
    <mergeCell ref="A31:B31"/>
    <mergeCell ref="D31:E31"/>
    <mergeCell ref="F31:G31"/>
    <mergeCell ref="A2:G2"/>
  </mergeCells>
  <pageMargins left="0.7" right="0.7" top="0.75" bottom="0.75" header="0.3" footer="0.3"/>
  <pageSetup paperSize="9" scale="90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selection activeCell="G13" sqref="G13"/>
    </sheetView>
  </sheetViews>
  <sheetFormatPr defaultRowHeight="15" x14ac:dyDescent="0.25"/>
  <cols>
    <col min="2" max="2" width="25.5703125" customWidth="1"/>
    <col min="3" max="3" width="17.28515625" customWidth="1"/>
  </cols>
  <sheetData>
    <row r="1" spans="1:3" ht="33.75" thickBot="1" x14ac:dyDescent="0.3">
      <c r="A1" s="164" t="s">
        <v>0</v>
      </c>
      <c r="B1" s="165" t="s">
        <v>366</v>
      </c>
      <c r="C1" s="165" t="s">
        <v>367</v>
      </c>
    </row>
    <row r="2" spans="1:3" ht="17.25" thickBot="1" x14ac:dyDescent="0.3">
      <c r="A2" s="166">
        <v>1</v>
      </c>
      <c r="B2" s="167" t="s">
        <v>368</v>
      </c>
      <c r="C2" s="168">
        <v>9648000</v>
      </c>
    </row>
    <row r="3" spans="1:3" ht="33.75" thickBot="1" x14ac:dyDescent="0.3">
      <c r="A3" s="166">
        <v>2</v>
      </c>
      <c r="B3" s="167" t="s">
        <v>369</v>
      </c>
      <c r="C3" s="168">
        <v>29980000</v>
      </c>
    </row>
    <row r="4" spans="1:3" ht="33.75" thickBot="1" x14ac:dyDescent="0.3">
      <c r="A4" s="166">
        <v>3</v>
      </c>
      <c r="B4" s="167" t="s">
        <v>370</v>
      </c>
      <c r="C4" s="168">
        <v>23800000</v>
      </c>
    </row>
    <row r="5" spans="1:3" ht="33.75" thickBot="1" x14ac:dyDescent="0.3">
      <c r="A5" s="166">
        <v>4</v>
      </c>
      <c r="B5" s="167" t="s">
        <v>371</v>
      </c>
      <c r="C5" s="168">
        <v>4620000</v>
      </c>
    </row>
    <row r="6" spans="1:3" ht="17.25" thickBot="1" x14ac:dyDescent="0.3">
      <c r="A6" s="166">
        <v>5</v>
      </c>
      <c r="B6" s="167" t="s">
        <v>372</v>
      </c>
      <c r="C6" s="168">
        <v>2400000</v>
      </c>
    </row>
    <row r="7" spans="1:3" ht="17.25" thickBot="1" x14ac:dyDescent="0.3">
      <c r="A7" s="291" t="s">
        <v>373</v>
      </c>
      <c r="B7" s="292"/>
      <c r="C7" s="169">
        <f>SUM(C2:C6)</f>
        <v>70448000</v>
      </c>
    </row>
    <row r="8" spans="1:3" ht="17.25" thickBot="1" x14ac:dyDescent="0.3">
      <c r="A8" s="291" t="s">
        <v>374</v>
      </c>
      <c r="B8" s="292"/>
      <c r="C8" s="168">
        <f>C2+C3</f>
        <v>39628000</v>
      </c>
    </row>
    <row r="9" spans="1:3" ht="17.25" thickBot="1" x14ac:dyDescent="0.3">
      <c r="A9" s="291" t="s">
        <v>375</v>
      </c>
      <c r="B9" s="292"/>
      <c r="C9" s="168">
        <f>C7-C8</f>
        <v>30820000</v>
      </c>
    </row>
  </sheetData>
  <mergeCells count="3">
    <mergeCell ref="A7:B7"/>
    <mergeCell ref="A8:B8"/>
    <mergeCell ref="A9:B9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"/>
  <sheetViews>
    <sheetView workbookViewId="0">
      <selection activeCell="D14" sqref="D14"/>
    </sheetView>
  </sheetViews>
  <sheetFormatPr defaultRowHeight="15" x14ac:dyDescent="0.25"/>
  <cols>
    <col min="2" max="2" width="17.85546875" customWidth="1"/>
    <col min="3" max="3" width="22.7109375" customWidth="1"/>
    <col min="7" max="7" width="10.140625" bestFit="1" customWidth="1"/>
    <col min="8" max="8" width="11.7109375" customWidth="1"/>
  </cols>
  <sheetData>
    <row r="1" spans="1:11" ht="29.25" customHeight="1" x14ac:dyDescent="0.25">
      <c r="A1" s="125">
        <v>25</v>
      </c>
      <c r="B1" s="134" t="s">
        <v>322</v>
      </c>
      <c r="C1" s="124" t="s">
        <v>207</v>
      </c>
      <c r="D1" s="185" t="s">
        <v>380</v>
      </c>
      <c r="E1" s="186">
        <v>4896000</v>
      </c>
      <c r="F1" s="186">
        <v>828000</v>
      </c>
      <c r="G1" s="130">
        <f t="shared" ref="G1:G7" si="0">E1+F1</f>
        <v>5724000</v>
      </c>
      <c r="H1" s="82">
        <v>45139</v>
      </c>
      <c r="I1" s="187" t="s">
        <v>350</v>
      </c>
      <c r="J1" s="187" t="s">
        <v>378</v>
      </c>
      <c r="K1" s="187" t="s">
        <v>386</v>
      </c>
    </row>
    <row r="2" spans="1:11" ht="29.25" customHeight="1" x14ac:dyDescent="0.25">
      <c r="A2" s="125">
        <v>26</v>
      </c>
      <c r="B2" s="134" t="s">
        <v>68</v>
      </c>
      <c r="C2" s="124" t="s">
        <v>204</v>
      </c>
      <c r="D2" s="185" t="s">
        <v>380</v>
      </c>
      <c r="E2" s="186">
        <v>3264000</v>
      </c>
      <c r="F2" s="186">
        <v>828000</v>
      </c>
      <c r="G2" s="130">
        <f t="shared" si="0"/>
        <v>4092000</v>
      </c>
      <c r="H2" s="82">
        <v>45141</v>
      </c>
      <c r="I2" s="187" t="s">
        <v>350</v>
      </c>
      <c r="J2" s="187" t="s">
        <v>378</v>
      </c>
      <c r="K2" s="187" t="s">
        <v>387</v>
      </c>
    </row>
    <row r="3" spans="1:11" ht="29.25" customHeight="1" x14ac:dyDescent="0.25">
      <c r="A3" s="125">
        <v>27</v>
      </c>
      <c r="B3" s="134" t="s">
        <v>316</v>
      </c>
      <c r="C3" s="124" t="s">
        <v>143</v>
      </c>
      <c r="D3" s="185" t="s">
        <v>380</v>
      </c>
      <c r="E3" s="186">
        <v>3264000</v>
      </c>
      <c r="F3" s="186">
        <v>828000</v>
      </c>
      <c r="G3" s="130">
        <f t="shared" si="0"/>
        <v>4092000</v>
      </c>
      <c r="H3" s="82">
        <v>45145</v>
      </c>
      <c r="I3" s="187" t="s">
        <v>350</v>
      </c>
      <c r="J3" s="187" t="s">
        <v>378</v>
      </c>
      <c r="K3" s="187" t="s">
        <v>388</v>
      </c>
    </row>
    <row r="4" spans="1:11" ht="29.25" customHeight="1" x14ac:dyDescent="0.25">
      <c r="A4" s="125">
        <v>28</v>
      </c>
      <c r="B4" s="132" t="s">
        <v>46</v>
      </c>
      <c r="C4" s="124" t="s">
        <v>163</v>
      </c>
      <c r="D4" s="185" t="s">
        <v>380</v>
      </c>
      <c r="E4" s="186">
        <v>2448000</v>
      </c>
      <c r="F4" s="186">
        <v>828000</v>
      </c>
      <c r="G4" s="130">
        <f t="shared" si="0"/>
        <v>3276000</v>
      </c>
      <c r="H4" s="82">
        <v>45145</v>
      </c>
      <c r="I4" s="187" t="s">
        <v>350</v>
      </c>
      <c r="J4" s="187" t="s">
        <v>378</v>
      </c>
      <c r="K4" s="187" t="s">
        <v>389</v>
      </c>
    </row>
    <row r="5" spans="1:11" ht="29.25" customHeight="1" x14ac:dyDescent="0.25">
      <c r="A5" s="125">
        <v>30</v>
      </c>
      <c r="B5" s="134" t="s">
        <v>164</v>
      </c>
      <c r="C5" s="124" t="s">
        <v>165</v>
      </c>
      <c r="D5" s="185" t="s">
        <v>380</v>
      </c>
      <c r="E5" s="186">
        <v>2448000</v>
      </c>
      <c r="F5" s="186">
        <v>828000</v>
      </c>
      <c r="G5" s="130">
        <f t="shared" si="0"/>
        <v>3276000</v>
      </c>
      <c r="H5" s="82">
        <v>45146</v>
      </c>
      <c r="I5" s="187" t="s">
        <v>350</v>
      </c>
      <c r="J5" s="187" t="s">
        <v>378</v>
      </c>
      <c r="K5" s="187" t="s">
        <v>390</v>
      </c>
    </row>
    <row r="6" spans="1:11" ht="29.25" customHeight="1" x14ac:dyDescent="0.25">
      <c r="A6" s="125">
        <v>31</v>
      </c>
      <c r="B6" s="132" t="s">
        <v>159</v>
      </c>
      <c r="C6" s="124" t="s">
        <v>160</v>
      </c>
      <c r="D6" s="185" t="s">
        <v>380</v>
      </c>
      <c r="E6" s="186">
        <v>3264000</v>
      </c>
      <c r="F6" s="186">
        <v>828000</v>
      </c>
      <c r="G6" s="130">
        <f t="shared" si="0"/>
        <v>4092000</v>
      </c>
      <c r="H6" s="82">
        <v>45147</v>
      </c>
      <c r="I6" s="187" t="s">
        <v>350</v>
      </c>
      <c r="J6" s="187" t="s">
        <v>378</v>
      </c>
      <c r="K6" s="187" t="s">
        <v>391</v>
      </c>
    </row>
    <row r="7" spans="1:11" ht="29.25" customHeight="1" x14ac:dyDescent="0.25">
      <c r="A7" s="125">
        <v>32</v>
      </c>
      <c r="B7" s="134" t="s">
        <v>154</v>
      </c>
      <c r="C7" s="124" t="s">
        <v>155</v>
      </c>
      <c r="D7" s="185" t="s">
        <v>380</v>
      </c>
      <c r="E7" s="186">
        <v>3264000</v>
      </c>
      <c r="F7" s="186">
        <v>828000</v>
      </c>
      <c r="G7" s="130">
        <f t="shared" si="0"/>
        <v>4092000</v>
      </c>
      <c r="H7" s="82">
        <v>45147</v>
      </c>
      <c r="I7" s="187" t="s">
        <v>350</v>
      </c>
      <c r="J7" s="187" t="s">
        <v>378</v>
      </c>
      <c r="K7" s="187" t="s">
        <v>392</v>
      </c>
    </row>
    <row r="8" spans="1:11" x14ac:dyDescent="0.25">
      <c r="A8" s="103"/>
      <c r="B8" s="132" t="s">
        <v>304</v>
      </c>
      <c r="C8" s="103"/>
      <c r="D8" s="103"/>
      <c r="E8" s="103"/>
      <c r="F8" s="103"/>
      <c r="G8" s="170">
        <f>SUM(G1:G7)</f>
        <v>28644000</v>
      </c>
      <c r="H8" s="103"/>
      <c r="I8" s="103"/>
      <c r="J8" s="103"/>
      <c r="K8" s="103"/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theo dõi thu 2026</vt:lpstr>
      <vt:lpstr>HĐ đtử</vt:lpstr>
      <vt:lpstr>Đky 2026</vt:lpstr>
      <vt:lpstr>nghỉ</vt:lpstr>
      <vt:lpstr>nộp phường</vt:lpstr>
      <vt:lpstr>thu góp</vt:lpstr>
      <vt:lpstr>Sheet1</vt:lpstr>
      <vt:lpstr>Sheet2</vt:lpstr>
      <vt:lpstr>'Đky 2026'!Print_Titles</vt:lpstr>
      <vt:lpstr>'theo dõi thu 2026'!Print_Titles</vt:lpstr>
    </vt:vector>
  </TitlesOfParts>
  <Company>377 BA TRIEU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An</dc:creator>
  <cp:lastModifiedBy>Administrator</cp:lastModifiedBy>
  <cp:lastPrinted>2026-03-30T08:20:36Z</cp:lastPrinted>
  <dcterms:created xsi:type="dcterms:W3CDTF">2018-04-02T06:46:12Z</dcterms:created>
  <dcterms:modified xsi:type="dcterms:W3CDTF">2026-06-03T02:51:47Z</dcterms:modified>
</cp:coreProperties>
</file>